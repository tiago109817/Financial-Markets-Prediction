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iago\Desktop\ANO 3\ANO 3 SEM 2\PIC\Financial-Markets-Prediction\"/>
    </mc:Choice>
  </mc:AlternateContent>
  <xr:revisionPtr revIDLastSave="0" documentId="13_ncr:1_{2CEA7626-2172-4B0B-BF08-69E3CA30F9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rros" sheetId="6" r:id="rId1"/>
    <sheet name="RANDOM WALK" sheetId="4" r:id="rId2"/>
    <sheet name="ARIMA FINAL" sheetId="3" r:id="rId3"/>
    <sheet name="XGBoost" sheetId="7" r:id="rId4"/>
    <sheet name="RNN" sheetId="8" r:id="rId5"/>
    <sheet name="Visual" sheetId="5" r:id="rId6"/>
    <sheet name="ARIMA DATA" sheetId="1" r:id="rId7"/>
    <sheet name="ARIMA ANALYSIS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" i="6" l="1" a="1"/>
  <c r="AM38" i="6" a="1"/>
  <c r="AL38" i="6" a="1"/>
  <c r="AK38" i="6" a="1"/>
  <c r="AI38" i="6" a="1"/>
  <c r="AH38" i="6" a="1"/>
  <c r="AG38" i="6" a="1"/>
  <c r="AM37" i="6" a="1"/>
  <c r="AL37" i="6" a="1"/>
  <c r="AK37" i="6" a="1"/>
  <c r="AI37" i="6" a="1"/>
  <c r="AH37" i="6" a="1"/>
  <c r="AG37" i="6" a="1"/>
  <c r="AC38" i="6" a="1"/>
  <c r="AB38" i="6" a="1"/>
  <c r="AA38" i="6" a="1"/>
  <c r="Y38" i="6" a="1"/>
  <c r="X38" i="6" a="1"/>
  <c r="W38" i="6" a="1"/>
  <c r="AC37" i="6" a="1"/>
  <c r="AB37" i="6" a="1"/>
  <c r="AA37" i="6" a="1"/>
  <c r="Y37" i="6" a="1"/>
  <c r="X37" i="6" a="1"/>
  <c r="W37" i="6" a="1"/>
  <c r="S38" i="6" a="1"/>
  <c r="R38" i="6" a="1"/>
  <c r="Q38" i="6" a="1"/>
  <c r="O38" i="6" a="1"/>
  <c r="N38" i="6" a="1"/>
  <c r="M38" i="6" a="1"/>
  <c r="S37" i="6" a="1"/>
  <c r="R37" i="6" a="1"/>
  <c r="Q37" i="6" a="1"/>
  <c r="O37" i="6" a="1"/>
  <c r="N37" i="6" a="1"/>
  <c r="M37" i="6" a="1"/>
  <c r="I38" i="6" a="1"/>
  <c r="H38" i="6" a="1"/>
  <c r="G38" i="6" a="1"/>
  <c r="I37" i="6" a="1"/>
  <c r="H37" i="6" a="1"/>
  <c r="G37" i="6" a="1"/>
  <c r="E38" i="6" a="1"/>
  <c r="E37" i="6" a="1"/>
  <c r="D38" i="6" a="1"/>
  <c r="D37" i="6" a="1"/>
  <c r="C38" i="6" a="1"/>
  <c r="C37" i="6" a="1"/>
  <c r="AV6" i="6"/>
  <c r="AW6" i="6"/>
  <c r="AX6" i="6"/>
  <c r="AY6" i="6"/>
  <c r="AZ6" i="6"/>
  <c r="BA6" i="6"/>
  <c r="BB6" i="6"/>
  <c r="BC6" i="6"/>
  <c r="BD6" i="6"/>
  <c r="BE6" i="6"/>
  <c r="BF6" i="6"/>
  <c r="BG6" i="6"/>
  <c r="AU6" i="6"/>
  <c r="AT6" i="6"/>
  <c r="AS6" i="6"/>
  <c r="AR6" i="6"/>
  <c r="AN34" i="6"/>
  <c r="AM34" i="6"/>
  <c r="AL34" i="6"/>
  <c r="AK34" i="6"/>
  <c r="AJ34" i="6"/>
  <c r="AI34" i="6"/>
  <c r="AH34" i="6"/>
  <c r="AG34" i="6"/>
  <c r="AN33" i="6"/>
  <c r="AM33" i="6"/>
  <c r="AL33" i="6"/>
  <c r="AK33" i="6"/>
  <c r="AJ33" i="6"/>
  <c r="AI33" i="6"/>
  <c r="AH33" i="6"/>
  <c r="AG33" i="6"/>
  <c r="AD34" i="6"/>
  <c r="AC34" i="6"/>
  <c r="AB34" i="6"/>
  <c r="AA34" i="6"/>
  <c r="Z34" i="6"/>
  <c r="Y34" i="6"/>
  <c r="X34" i="6"/>
  <c r="W34" i="6"/>
  <c r="AD33" i="6"/>
  <c r="AC33" i="6"/>
  <c r="AB33" i="6"/>
  <c r="AA33" i="6"/>
  <c r="Z33" i="6"/>
  <c r="Y33" i="6"/>
  <c r="X33" i="6"/>
  <c r="W33" i="6"/>
  <c r="T34" i="6"/>
  <c r="S34" i="6"/>
  <c r="R34" i="6"/>
  <c r="Q34" i="6"/>
  <c r="P34" i="6"/>
  <c r="O34" i="6"/>
  <c r="N34" i="6"/>
  <c r="M34" i="6"/>
  <c r="T33" i="6"/>
  <c r="S33" i="6"/>
  <c r="R33" i="6"/>
  <c r="Q33" i="6"/>
  <c r="P33" i="6"/>
  <c r="O33" i="6"/>
  <c r="N33" i="6"/>
  <c r="M33" i="6"/>
  <c r="D33" i="6"/>
  <c r="E33" i="6"/>
  <c r="F33" i="6"/>
  <c r="G33" i="6"/>
  <c r="H33" i="6"/>
  <c r="I33" i="6"/>
  <c r="J33" i="6"/>
  <c r="D34" i="6"/>
  <c r="E34" i="6"/>
  <c r="F34" i="6"/>
  <c r="G34" i="6"/>
  <c r="H34" i="6"/>
  <c r="I34" i="6"/>
  <c r="J34" i="6"/>
  <c r="C34" i="6"/>
  <c r="C33" i="6"/>
  <c r="L26" i="8"/>
  <c r="AC34" i="4"/>
  <c r="AC33" i="4"/>
  <c r="Y34" i="4"/>
  <c r="Y33" i="4"/>
  <c r="U34" i="4"/>
  <c r="U33" i="4"/>
  <c r="Q34" i="4"/>
  <c r="Q33" i="4"/>
  <c r="AL32" i="6" a="1"/>
  <c r="AM32" i="6" a="1"/>
  <c r="AN32" i="6" a="1"/>
  <c r="AK32" i="6" a="1"/>
  <c r="AH32" i="6" a="1"/>
  <c r="AI32" i="6" a="1"/>
  <c r="AJ32" i="6" a="1"/>
  <c r="AG32" i="6" a="1"/>
  <c r="AB32" i="6" a="1"/>
  <c r="AC32" i="6" a="1"/>
  <c r="AD32" i="6" a="1"/>
  <c r="AA32" i="6" a="1"/>
  <c r="X32" i="6" a="1"/>
  <c r="Y32" i="6" a="1"/>
  <c r="Z32" i="6" a="1"/>
  <c r="W32" i="6" a="1"/>
  <c r="R32" i="6" a="1"/>
  <c r="S32" i="6" a="1"/>
  <c r="T32" i="6" a="1"/>
  <c r="Q32" i="6" a="1"/>
  <c r="C32" i="6" a="1"/>
  <c r="H32" i="6" a="1"/>
  <c r="I32" i="6" a="1"/>
  <c r="J32" i="6" a="1"/>
  <c r="G32" i="6" a="1"/>
  <c r="E32" i="6" a="1"/>
  <c r="F32" i="6" a="1"/>
  <c r="D32" i="6" a="1"/>
  <c r="D31" i="6" a="1"/>
  <c r="E31" i="6" a="1"/>
  <c r="F31" i="6" a="1"/>
  <c r="G31" i="6" a="1"/>
  <c r="H31" i="6" a="1"/>
  <c r="I31" i="6" a="1"/>
  <c r="J31" i="6" a="1"/>
  <c r="M31" i="6" a="1"/>
  <c r="N31" i="6" a="1"/>
  <c r="P31" i="6" a="1"/>
  <c r="Q31" i="6" a="1"/>
  <c r="R31" i="6" a="1"/>
  <c r="S31" i="6" a="1"/>
  <c r="T31" i="6" a="1"/>
  <c r="W31" i="6" a="1"/>
  <c r="X31" i="6" a="1"/>
  <c r="Y31" i="6" a="1"/>
  <c r="Z31" i="6" a="1"/>
  <c r="AA31" i="6" a="1"/>
  <c r="AB31" i="6" a="1"/>
  <c r="AC31" i="6" a="1"/>
  <c r="AD31" i="6" a="1"/>
  <c r="AG31" i="6" a="1"/>
  <c r="AH31" i="6" a="1"/>
  <c r="AI31" i="6" a="1"/>
  <c r="AJ31" i="6" a="1"/>
  <c r="AK31" i="6" a="1"/>
  <c r="AL31" i="6" a="1"/>
  <c r="AM31" i="6" a="1"/>
  <c r="AN31" i="6" a="1"/>
  <c r="C31" i="6" a="1"/>
  <c r="D30" i="6" a="1"/>
  <c r="E30" i="6" a="1"/>
  <c r="F30" i="6" a="1"/>
  <c r="G30" i="6" a="1"/>
  <c r="H30" i="6" a="1"/>
  <c r="I30" i="6" a="1"/>
  <c r="J30" i="6" a="1"/>
  <c r="M30" i="6" a="1"/>
  <c r="N30" i="6" a="1"/>
  <c r="P30" i="6" a="1"/>
  <c r="Q30" i="6" a="1"/>
  <c r="R30" i="6" a="1"/>
  <c r="S30" i="6" a="1"/>
  <c r="T30" i="6" a="1"/>
  <c r="W30" i="6" a="1"/>
  <c r="X30" i="6" a="1"/>
  <c r="Y30" i="6" a="1"/>
  <c r="Z30" i="6" a="1"/>
  <c r="AA30" i="6" a="1"/>
  <c r="AB30" i="6" a="1"/>
  <c r="AC30" i="6" a="1"/>
  <c r="AD30" i="6" a="1"/>
  <c r="AG30" i="6" a="1"/>
  <c r="AH30" i="6" a="1"/>
  <c r="AI30" i="6" a="1"/>
  <c r="AJ30" i="6" a="1"/>
  <c r="AK30" i="6" a="1"/>
  <c r="AL30" i="6" a="1"/>
  <c r="AM30" i="6" a="1"/>
  <c r="AN30" i="6" a="1"/>
  <c r="C30" i="6" a="1"/>
  <c r="AR30" i="8"/>
  <c r="AM30" i="8"/>
  <c r="AH30" i="8"/>
  <c r="AC30" i="8"/>
  <c r="V30" i="8"/>
  <c r="Q30" i="8"/>
  <c r="L30" i="8"/>
  <c r="G30" i="8"/>
  <c r="AR29" i="8"/>
  <c r="AM29" i="8"/>
  <c r="AH29" i="8"/>
  <c r="AC29" i="8"/>
  <c r="V29" i="8"/>
  <c r="Q29" i="8"/>
  <c r="L29" i="8"/>
  <c r="G29" i="8"/>
  <c r="AR28" i="8"/>
  <c r="AM28" i="8"/>
  <c r="AH28" i="8"/>
  <c r="AC28" i="8"/>
  <c r="V28" i="8"/>
  <c r="Q28" i="8"/>
  <c r="L28" i="8"/>
  <c r="G28" i="8"/>
  <c r="AR27" i="8"/>
  <c r="AM27" i="8"/>
  <c r="AH27" i="8"/>
  <c r="AC27" i="8"/>
  <c r="V27" i="8"/>
  <c r="Q27" i="8"/>
  <c r="L27" i="8"/>
  <c r="G27" i="8"/>
  <c r="AR26" i="8"/>
  <c r="AM26" i="8"/>
  <c r="AH26" i="8"/>
  <c r="AC26" i="8"/>
  <c r="V26" i="8"/>
  <c r="Q26" i="8"/>
  <c r="G26" i="8"/>
  <c r="AR25" i="8"/>
  <c r="AM25" i="8"/>
  <c r="AH25" i="8"/>
  <c r="AC25" i="8"/>
  <c r="V25" i="8"/>
  <c r="Q25" i="8"/>
  <c r="L25" i="8"/>
  <c r="G25" i="8"/>
  <c r="AR24" i="8"/>
  <c r="AM24" i="8"/>
  <c r="AH24" i="8"/>
  <c r="AC24" i="8"/>
  <c r="V24" i="8"/>
  <c r="Q24" i="8"/>
  <c r="L24" i="8"/>
  <c r="G24" i="8"/>
  <c r="AR23" i="8"/>
  <c r="AM23" i="8"/>
  <c r="AH23" i="8"/>
  <c r="AC23" i="8"/>
  <c r="V23" i="8"/>
  <c r="Q23" i="8"/>
  <c r="L23" i="8"/>
  <c r="G23" i="8"/>
  <c r="AR22" i="8"/>
  <c r="AM22" i="8"/>
  <c r="AH22" i="8"/>
  <c r="AC22" i="8"/>
  <c r="V22" i="8"/>
  <c r="Q22" i="8"/>
  <c r="L22" i="8"/>
  <c r="G22" i="8"/>
  <c r="AR21" i="8"/>
  <c r="AM21" i="8"/>
  <c r="AH21" i="8"/>
  <c r="AC21" i="8"/>
  <c r="V21" i="8"/>
  <c r="Q21" i="8"/>
  <c r="L21" i="8"/>
  <c r="G21" i="8"/>
  <c r="AR20" i="8"/>
  <c r="AM20" i="8"/>
  <c r="AH20" i="8"/>
  <c r="AC20" i="8"/>
  <c r="V20" i="8"/>
  <c r="Q20" i="8"/>
  <c r="L20" i="8"/>
  <c r="G20" i="8"/>
  <c r="AR19" i="8"/>
  <c r="AM19" i="8"/>
  <c r="AH19" i="8"/>
  <c r="AC19" i="8"/>
  <c r="V19" i="8"/>
  <c r="Q19" i="8"/>
  <c r="L19" i="8"/>
  <c r="G19" i="8"/>
  <c r="AR18" i="8"/>
  <c r="AM18" i="8"/>
  <c r="AH18" i="8"/>
  <c r="AC18" i="8"/>
  <c r="V18" i="8"/>
  <c r="Q18" i="8"/>
  <c r="L18" i="8"/>
  <c r="G18" i="8"/>
  <c r="AR17" i="8"/>
  <c r="AM17" i="8"/>
  <c r="AH17" i="8"/>
  <c r="AC17" i="8"/>
  <c r="V17" i="8"/>
  <c r="Q17" i="8"/>
  <c r="L17" i="8"/>
  <c r="G17" i="8"/>
  <c r="AR16" i="8"/>
  <c r="AM16" i="8"/>
  <c r="AH16" i="8"/>
  <c r="AC16" i="8"/>
  <c r="V16" i="8"/>
  <c r="Q16" i="8"/>
  <c r="L16" i="8"/>
  <c r="G16" i="8"/>
  <c r="AR15" i="8"/>
  <c r="AM15" i="8"/>
  <c r="AH15" i="8"/>
  <c r="AC15" i="8"/>
  <c r="V15" i="8"/>
  <c r="Q15" i="8"/>
  <c r="L15" i="8"/>
  <c r="G15" i="8"/>
  <c r="AR14" i="8"/>
  <c r="AM14" i="8"/>
  <c r="AH14" i="8"/>
  <c r="AC14" i="8"/>
  <c r="V14" i="8"/>
  <c r="Q14" i="8"/>
  <c r="L14" i="8"/>
  <c r="G14" i="8"/>
  <c r="AR13" i="8"/>
  <c r="AM13" i="8"/>
  <c r="AH13" i="8"/>
  <c r="AC13" i="8"/>
  <c r="V13" i="8"/>
  <c r="Q13" i="8"/>
  <c r="L13" i="8"/>
  <c r="G13" i="8"/>
  <c r="AR12" i="8"/>
  <c r="AM12" i="8"/>
  <c r="AH12" i="8"/>
  <c r="AC12" i="8"/>
  <c r="V12" i="8"/>
  <c r="Q12" i="8"/>
  <c r="L12" i="8"/>
  <c r="G12" i="8"/>
  <c r="AR11" i="8"/>
  <c r="AM11" i="8"/>
  <c r="AH11" i="8"/>
  <c r="AC11" i="8"/>
  <c r="V11" i="8"/>
  <c r="Q11" i="8"/>
  <c r="L11" i="8"/>
  <c r="G11" i="8"/>
  <c r="AR10" i="8"/>
  <c r="AM10" i="8"/>
  <c r="AH10" i="8"/>
  <c r="AC10" i="8"/>
  <c r="V10" i="8"/>
  <c r="Q10" i="8"/>
  <c r="L10" i="8"/>
  <c r="G10" i="8"/>
  <c r="AR9" i="8"/>
  <c r="AM9" i="8"/>
  <c r="AH9" i="8"/>
  <c r="AC9" i="8"/>
  <c r="V9" i="8"/>
  <c r="Q9" i="8"/>
  <c r="L9" i="8"/>
  <c r="G9" i="8"/>
  <c r="AR8" i="8"/>
  <c r="AM8" i="8"/>
  <c r="AH8" i="8"/>
  <c r="AC8" i="8"/>
  <c r="V8" i="8"/>
  <c r="Q8" i="8"/>
  <c r="L8" i="8"/>
  <c r="G8" i="8"/>
  <c r="AX7" i="8"/>
  <c r="AW7" i="8"/>
  <c r="AV7" i="8"/>
  <c r="AU7" i="8"/>
  <c r="AR7" i="8"/>
  <c r="AM7" i="8"/>
  <c r="AH7" i="8"/>
  <c r="AC7" i="8"/>
  <c r="V7" i="8"/>
  <c r="Q7" i="8"/>
  <c r="L7" i="8"/>
  <c r="G7" i="8"/>
  <c r="AR6" i="8"/>
  <c r="AM6" i="8"/>
  <c r="AH6" i="8"/>
  <c r="AC6" i="8"/>
  <c r="V6" i="8"/>
  <c r="Q6" i="8"/>
  <c r="L6" i="8"/>
  <c r="G6" i="8"/>
  <c r="AR5" i="8"/>
  <c r="AM5" i="8"/>
  <c r="AH5" i="8"/>
  <c r="AC5" i="8"/>
  <c r="V5" i="8"/>
  <c r="Q5" i="8"/>
  <c r="L5" i="8"/>
  <c r="G5" i="8"/>
  <c r="AR4" i="8"/>
  <c r="AM4" i="8"/>
  <c r="AH4" i="8"/>
  <c r="AC4" i="8"/>
  <c r="V4" i="8"/>
  <c r="Q4" i="8"/>
  <c r="L4" i="8"/>
  <c r="G4" i="8"/>
  <c r="AR3" i="8"/>
  <c r="AM3" i="8"/>
  <c r="AH3" i="8"/>
  <c r="AC3" i="8"/>
  <c r="V3" i="8"/>
  <c r="Q3" i="8"/>
  <c r="L3" i="8"/>
  <c r="G3" i="8"/>
  <c r="AL26" i="7"/>
  <c r="D29" i="6" a="1"/>
  <c r="F29" i="6" a="1"/>
  <c r="G29" i="6" a="1"/>
  <c r="H29" i="6" a="1"/>
  <c r="J29" i="6" a="1"/>
  <c r="M29" i="6" a="1"/>
  <c r="N29" i="6" a="1"/>
  <c r="P29" i="6" a="1"/>
  <c r="Q29" i="6" a="1"/>
  <c r="R29" i="6" a="1"/>
  <c r="T29" i="6" a="1"/>
  <c r="W29" i="6" a="1"/>
  <c r="X29" i="6" a="1"/>
  <c r="Y29" i="6" a="1"/>
  <c r="Z29" i="6" a="1"/>
  <c r="AB29" i="6" a="1"/>
  <c r="AD29" i="6" a="1"/>
  <c r="AG29" i="6" a="1"/>
  <c r="AH29" i="6" a="1"/>
  <c r="AI29" i="6" a="1"/>
  <c r="AJ29" i="6" a="1"/>
  <c r="AK29" i="6" a="1"/>
  <c r="AL29" i="6" a="1"/>
  <c r="AN29" i="6" a="1"/>
  <c r="C29" i="6" a="1"/>
  <c r="AZ30" i="7"/>
  <c r="AS30" i="7"/>
  <c r="AL30" i="7"/>
  <c r="AE30" i="7"/>
  <c r="AZ29" i="7"/>
  <c r="AS29" i="7"/>
  <c r="AL29" i="7"/>
  <c r="AE29" i="7"/>
  <c r="AZ28" i="7"/>
  <c r="AS28" i="7"/>
  <c r="AL28" i="7"/>
  <c r="AE28" i="7"/>
  <c r="AZ27" i="7"/>
  <c r="AS27" i="7"/>
  <c r="AL27" i="7"/>
  <c r="AE27" i="7"/>
  <c r="AZ26" i="7"/>
  <c r="AS26" i="7"/>
  <c r="AE26" i="7"/>
  <c r="AZ25" i="7"/>
  <c r="AS25" i="7"/>
  <c r="AL25" i="7"/>
  <c r="AE25" i="7"/>
  <c r="AZ24" i="7"/>
  <c r="AS24" i="7"/>
  <c r="AL24" i="7"/>
  <c r="AE24" i="7"/>
  <c r="AZ23" i="7"/>
  <c r="AS23" i="7"/>
  <c r="AL23" i="7"/>
  <c r="AE23" i="7"/>
  <c r="AZ22" i="7"/>
  <c r="AS22" i="7"/>
  <c r="AL22" i="7"/>
  <c r="AE22" i="7"/>
  <c r="AZ21" i="7"/>
  <c r="AS21" i="7"/>
  <c r="AL21" i="7"/>
  <c r="AE21" i="7"/>
  <c r="AZ20" i="7"/>
  <c r="AS20" i="7"/>
  <c r="AL20" i="7"/>
  <c r="AE20" i="7"/>
  <c r="AZ19" i="7"/>
  <c r="AS19" i="7"/>
  <c r="AL19" i="7"/>
  <c r="AE19" i="7"/>
  <c r="AZ18" i="7"/>
  <c r="AS18" i="7"/>
  <c r="AL18" i="7"/>
  <c r="AE18" i="7"/>
  <c r="AZ17" i="7"/>
  <c r="AS17" i="7"/>
  <c r="AL17" i="7"/>
  <c r="AE17" i="7"/>
  <c r="AZ16" i="7"/>
  <c r="AS16" i="7"/>
  <c r="AL16" i="7"/>
  <c r="AE16" i="7"/>
  <c r="AZ15" i="7"/>
  <c r="AS15" i="7"/>
  <c r="AL15" i="7"/>
  <c r="AE15" i="7"/>
  <c r="AZ14" i="7"/>
  <c r="AS14" i="7"/>
  <c r="AL14" i="7"/>
  <c r="AE14" i="7"/>
  <c r="AZ13" i="7"/>
  <c r="AS13" i="7"/>
  <c r="AL13" i="7"/>
  <c r="AE13" i="7"/>
  <c r="AZ12" i="7"/>
  <c r="AS12" i="7"/>
  <c r="AL12" i="7"/>
  <c r="AE12" i="7"/>
  <c r="AZ11" i="7"/>
  <c r="AS11" i="7"/>
  <c r="AL11" i="7"/>
  <c r="AE11" i="7"/>
  <c r="AZ10" i="7"/>
  <c r="AS10" i="7"/>
  <c r="AL10" i="7"/>
  <c r="AE10" i="7"/>
  <c r="AZ9" i="7"/>
  <c r="AS9" i="7"/>
  <c r="AL9" i="7"/>
  <c r="AE9" i="7"/>
  <c r="AZ8" i="7"/>
  <c r="AS8" i="7"/>
  <c r="AL8" i="7"/>
  <c r="AE8" i="7"/>
  <c r="AZ7" i="7"/>
  <c r="AS7" i="7"/>
  <c r="AL7" i="7"/>
  <c r="AE7" i="7"/>
  <c r="AZ6" i="7"/>
  <c r="AS6" i="7"/>
  <c r="AL6" i="7"/>
  <c r="AE6" i="7"/>
  <c r="AZ5" i="7"/>
  <c r="AS5" i="7"/>
  <c r="AL5" i="7"/>
  <c r="AE5" i="7"/>
  <c r="AZ4" i="7"/>
  <c r="AS4" i="7"/>
  <c r="AL4" i="7"/>
  <c r="AE4" i="7"/>
  <c r="AZ3" i="7"/>
  <c r="AS3" i="7"/>
  <c r="AL3" i="7"/>
  <c r="AE3" i="7"/>
  <c r="V30" i="7"/>
  <c r="Q30" i="7"/>
  <c r="L30" i="7"/>
  <c r="G30" i="7"/>
  <c r="V29" i="7"/>
  <c r="Q29" i="7"/>
  <c r="L29" i="7"/>
  <c r="G29" i="7"/>
  <c r="V28" i="7"/>
  <c r="Q28" i="7"/>
  <c r="L28" i="7"/>
  <c r="G28" i="7"/>
  <c r="V27" i="7"/>
  <c r="Q27" i="7"/>
  <c r="L27" i="7"/>
  <c r="G27" i="7"/>
  <c r="L26" i="7"/>
  <c r="G26" i="7"/>
  <c r="V25" i="7"/>
  <c r="Q25" i="7"/>
  <c r="L25" i="7"/>
  <c r="G25" i="7"/>
  <c r="V24" i="7"/>
  <c r="Q24" i="7"/>
  <c r="L24" i="7"/>
  <c r="G24" i="7"/>
  <c r="V23" i="7"/>
  <c r="Q23" i="7"/>
  <c r="L23" i="7"/>
  <c r="G23" i="7"/>
  <c r="V22" i="7"/>
  <c r="Q22" i="7"/>
  <c r="L22" i="7"/>
  <c r="G22" i="7"/>
  <c r="V21" i="7"/>
  <c r="Q21" i="7"/>
  <c r="L21" i="7"/>
  <c r="G21" i="7"/>
  <c r="V20" i="7"/>
  <c r="Q20" i="7"/>
  <c r="L20" i="7"/>
  <c r="G20" i="7"/>
  <c r="V19" i="7"/>
  <c r="Q19" i="7"/>
  <c r="L19" i="7"/>
  <c r="G19" i="7"/>
  <c r="V18" i="7"/>
  <c r="Q18" i="7"/>
  <c r="L18" i="7"/>
  <c r="G18" i="7"/>
  <c r="V17" i="7"/>
  <c r="Q17" i="7"/>
  <c r="L17" i="7"/>
  <c r="G17" i="7"/>
  <c r="V16" i="7"/>
  <c r="Q16" i="7"/>
  <c r="L16" i="7"/>
  <c r="G16" i="7"/>
  <c r="V15" i="7"/>
  <c r="Q15" i="7"/>
  <c r="L15" i="7"/>
  <c r="G15" i="7"/>
  <c r="V14" i="7"/>
  <c r="Q14" i="7"/>
  <c r="L14" i="7"/>
  <c r="G14" i="7"/>
  <c r="V13" i="7"/>
  <c r="Q13" i="7"/>
  <c r="L13" i="7"/>
  <c r="G13" i="7"/>
  <c r="V12" i="7"/>
  <c r="Q12" i="7"/>
  <c r="L12" i="7"/>
  <c r="G12" i="7"/>
  <c r="V11" i="7"/>
  <c r="Q11" i="7"/>
  <c r="L11" i="7"/>
  <c r="G11" i="7"/>
  <c r="V10" i="7"/>
  <c r="Q10" i="7"/>
  <c r="L10" i="7"/>
  <c r="G10" i="7"/>
  <c r="V9" i="7"/>
  <c r="Q9" i="7"/>
  <c r="L9" i="7"/>
  <c r="G9" i="7"/>
  <c r="V8" i="7"/>
  <c r="Q8" i="7"/>
  <c r="L8" i="7"/>
  <c r="G8" i="7"/>
  <c r="V7" i="7"/>
  <c r="Q7" i="7"/>
  <c r="L7" i="7"/>
  <c r="G7" i="7"/>
  <c r="BF7" i="7"/>
  <c r="BE7" i="7"/>
  <c r="BD7" i="7"/>
  <c r="BC7" i="7"/>
  <c r="V6" i="7"/>
  <c r="Q6" i="7"/>
  <c r="L6" i="7"/>
  <c r="G6" i="7"/>
  <c r="V5" i="7"/>
  <c r="Q5" i="7"/>
  <c r="L5" i="7"/>
  <c r="G5" i="7"/>
  <c r="V4" i="7"/>
  <c r="Q4" i="7"/>
  <c r="L4" i="7"/>
  <c r="G4" i="7"/>
  <c r="V3" i="7"/>
  <c r="Q3" i="7"/>
  <c r="G3" i="7"/>
  <c r="AJ9" i="4"/>
  <c r="AK9" i="4"/>
  <c r="AL9" i="4"/>
  <c r="AI9" i="4"/>
  <c r="AK6" i="4"/>
  <c r="AL6" i="4"/>
  <c r="AJ6" i="4"/>
  <c r="AI6" i="4"/>
  <c r="E27" i="4"/>
  <c r="AF30" i="4"/>
  <c r="AB30" i="4"/>
  <c r="X30" i="4"/>
  <c r="T30" i="4"/>
  <c r="AF29" i="4"/>
  <c r="AB29" i="4"/>
  <c r="X29" i="4"/>
  <c r="T29" i="4"/>
  <c r="AF28" i="4"/>
  <c r="AB28" i="4"/>
  <c r="X28" i="4"/>
  <c r="T28" i="4"/>
  <c r="AF27" i="4"/>
  <c r="AB27" i="4"/>
  <c r="X27" i="4"/>
  <c r="T27" i="4"/>
  <c r="AF26" i="4"/>
  <c r="AB26" i="4"/>
  <c r="X26" i="4"/>
  <c r="T26" i="4"/>
  <c r="AF25" i="4"/>
  <c r="AB25" i="4"/>
  <c r="X25" i="4"/>
  <c r="T25" i="4"/>
  <c r="AF24" i="4"/>
  <c r="AB24" i="4"/>
  <c r="X24" i="4"/>
  <c r="T24" i="4"/>
  <c r="AF23" i="4"/>
  <c r="AB23" i="4"/>
  <c r="X23" i="4"/>
  <c r="T23" i="4"/>
  <c r="AF22" i="4"/>
  <c r="AB22" i="4"/>
  <c r="X22" i="4"/>
  <c r="T22" i="4"/>
  <c r="AF21" i="4"/>
  <c r="AB21" i="4"/>
  <c r="X21" i="4"/>
  <c r="T21" i="4"/>
  <c r="AF20" i="4"/>
  <c r="AB20" i="4"/>
  <c r="X20" i="4"/>
  <c r="T20" i="4"/>
  <c r="AF19" i="4"/>
  <c r="AB19" i="4"/>
  <c r="X19" i="4"/>
  <c r="T19" i="4"/>
  <c r="AF18" i="4"/>
  <c r="AB18" i="4"/>
  <c r="X18" i="4"/>
  <c r="T18" i="4"/>
  <c r="AF17" i="4"/>
  <c r="AB17" i="4"/>
  <c r="X17" i="4"/>
  <c r="T17" i="4"/>
  <c r="AF16" i="4"/>
  <c r="AB16" i="4"/>
  <c r="X16" i="4"/>
  <c r="T16" i="4"/>
  <c r="AF15" i="4"/>
  <c r="AB15" i="4"/>
  <c r="X15" i="4"/>
  <c r="T15" i="4"/>
  <c r="AF14" i="4"/>
  <c r="AB14" i="4"/>
  <c r="X14" i="4"/>
  <c r="T14" i="4"/>
  <c r="AF13" i="4"/>
  <c r="AB13" i="4"/>
  <c r="X13" i="4"/>
  <c r="T13" i="4"/>
  <c r="AF12" i="4"/>
  <c r="AB12" i="4"/>
  <c r="X12" i="4"/>
  <c r="T12" i="4"/>
  <c r="AF11" i="4"/>
  <c r="AB11" i="4"/>
  <c r="X11" i="4"/>
  <c r="T11" i="4"/>
  <c r="AF10" i="4"/>
  <c r="AB10" i="4"/>
  <c r="X10" i="4"/>
  <c r="T10" i="4"/>
  <c r="AF9" i="4"/>
  <c r="AB9" i="4"/>
  <c r="X9" i="4"/>
  <c r="T9" i="4"/>
  <c r="AF8" i="4"/>
  <c r="AB8" i="4"/>
  <c r="X8" i="4"/>
  <c r="T8" i="4"/>
  <c r="AF7" i="4"/>
  <c r="AB7" i="4"/>
  <c r="X7" i="4"/>
  <c r="T7" i="4"/>
  <c r="AF6" i="4"/>
  <c r="AB6" i="4"/>
  <c r="X6" i="4"/>
  <c r="T6" i="4"/>
  <c r="AF5" i="4"/>
  <c r="AB5" i="4"/>
  <c r="AB31" i="4" s="1" a="1"/>
  <c r="X5" i="4"/>
  <c r="T5" i="4"/>
  <c r="AF4" i="4"/>
  <c r="AF31" i="4" s="1" a="1"/>
  <c r="AB4" i="4"/>
  <c r="X4" i="4"/>
  <c r="T4" i="4"/>
  <c r="AF3" i="4"/>
  <c r="AB3" i="4"/>
  <c r="X3" i="4"/>
  <c r="T3" i="4"/>
  <c r="N30" i="4"/>
  <c r="K30" i="4"/>
  <c r="H30" i="4"/>
  <c r="E30" i="4"/>
  <c r="N29" i="4"/>
  <c r="K29" i="4"/>
  <c r="H29" i="4"/>
  <c r="E29" i="4"/>
  <c r="N28" i="4"/>
  <c r="K28" i="4"/>
  <c r="H28" i="4"/>
  <c r="E28" i="4"/>
  <c r="N27" i="4"/>
  <c r="K27" i="4"/>
  <c r="H27" i="4"/>
  <c r="N26" i="4"/>
  <c r="K26" i="4"/>
  <c r="H26" i="4"/>
  <c r="E26" i="4"/>
  <c r="N25" i="4"/>
  <c r="K25" i="4"/>
  <c r="H25" i="4"/>
  <c r="E25" i="4"/>
  <c r="N24" i="4"/>
  <c r="K24" i="4"/>
  <c r="H24" i="4"/>
  <c r="E24" i="4"/>
  <c r="N23" i="4"/>
  <c r="K23" i="4"/>
  <c r="H23" i="4"/>
  <c r="E23" i="4"/>
  <c r="N22" i="4"/>
  <c r="K22" i="4"/>
  <c r="H22" i="4"/>
  <c r="E22" i="4"/>
  <c r="N21" i="4"/>
  <c r="K21" i="4"/>
  <c r="H21" i="4"/>
  <c r="E21" i="4"/>
  <c r="N20" i="4"/>
  <c r="K20" i="4"/>
  <c r="H20" i="4"/>
  <c r="E20" i="4"/>
  <c r="N19" i="4"/>
  <c r="K19" i="4"/>
  <c r="H19" i="4"/>
  <c r="E19" i="4"/>
  <c r="N18" i="4"/>
  <c r="K18" i="4"/>
  <c r="H18" i="4"/>
  <c r="E18" i="4"/>
  <c r="N17" i="4"/>
  <c r="K17" i="4"/>
  <c r="H17" i="4"/>
  <c r="E17" i="4"/>
  <c r="N16" i="4"/>
  <c r="K16" i="4"/>
  <c r="H16" i="4"/>
  <c r="E16" i="4"/>
  <c r="N15" i="4"/>
  <c r="K15" i="4"/>
  <c r="H15" i="4"/>
  <c r="E15" i="4"/>
  <c r="N14" i="4"/>
  <c r="K14" i="4"/>
  <c r="H14" i="4"/>
  <c r="E14" i="4"/>
  <c r="N13" i="4"/>
  <c r="K13" i="4"/>
  <c r="H13" i="4"/>
  <c r="E13" i="4"/>
  <c r="N12" i="4"/>
  <c r="K12" i="4"/>
  <c r="H12" i="4"/>
  <c r="E12" i="4"/>
  <c r="N11" i="4"/>
  <c r="K11" i="4"/>
  <c r="H11" i="4"/>
  <c r="E11" i="4"/>
  <c r="N10" i="4"/>
  <c r="K10" i="4"/>
  <c r="H10" i="4"/>
  <c r="E10" i="4"/>
  <c r="N9" i="4"/>
  <c r="K9" i="4"/>
  <c r="H9" i="4"/>
  <c r="E9" i="4"/>
  <c r="N8" i="4"/>
  <c r="K8" i="4"/>
  <c r="H8" i="4"/>
  <c r="E8" i="4"/>
  <c r="N7" i="4"/>
  <c r="K7" i="4"/>
  <c r="H7" i="4"/>
  <c r="E7" i="4"/>
  <c r="N6" i="4"/>
  <c r="K6" i="4"/>
  <c r="H6" i="4"/>
  <c r="E6" i="4"/>
  <c r="N5" i="4"/>
  <c r="K5" i="4"/>
  <c r="H5" i="4"/>
  <c r="E5" i="4"/>
  <c r="N4" i="4"/>
  <c r="K4" i="4"/>
  <c r="H4" i="4"/>
  <c r="E4" i="4"/>
  <c r="N3" i="4"/>
  <c r="N31" i="4" s="1" a="1"/>
  <c r="K3" i="4"/>
  <c r="K31" i="4" s="1" a="1"/>
  <c r="H3" i="4"/>
  <c r="E3" i="4"/>
  <c r="AV12" i="3"/>
  <c r="AW12" i="3"/>
  <c r="AX12" i="3"/>
  <c r="AU1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AL22" i="3"/>
  <c r="AR30" i="3"/>
  <c r="AL30" i="3"/>
  <c r="AF30" i="3"/>
  <c r="Z30" i="3"/>
  <c r="AR29" i="3"/>
  <c r="AL29" i="3"/>
  <c r="AF29" i="3"/>
  <c r="Z29" i="3"/>
  <c r="AR28" i="3"/>
  <c r="AL28" i="3"/>
  <c r="AF28" i="3"/>
  <c r="Z28" i="3"/>
  <c r="AR27" i="3"/>
  <c r="AL27" i="3"/>
  <c r="AF27" i="3"/>
  <c r="Z27" i="3"/>
  <c r="AR26" i="3"/>
  <c r="AL26" i="3"/>
  <c r="AF26" i="3"/>
  <c r="AR25" i="3"/>
  <c r="AL25" i="3"/>
  <c r="AF25" i="3"/>
  <c r="AR24" i="3"/>
  <c r="AL24" i="3"/>
  <c r="AF24" i="3"/>
  <c r="AR23" i="3"/>
  <c r="AL23" i="3"/>
  <c r="AF23" i="3"/>
  <c r="AR22" i="3"/>
  <c r="AF22" i="3"/>
  <c r="AR21" i="3"/>
  <c r="AL21" i="3"/>
  <c r="AF21" i="3"/>
  <c r="AR20" i="3"/>
  <c r="AL20" i="3"/>
  <c r="AF20" i="3"/>
  <c r="AR19" i="3"/>
  <c r="AL19" i="3"/>
  <c r="AF19" i="3"/>
  <c r="AR18" i="3"/>
  <c r="AL18" i="3"/>
  <c r="AF18" i="3"/>
  <c r="AR17" i="3"/>
  <c r="AL17" i="3"/>
  <c r="AF17" i="3"/>
  <c r="AR16" i="3"/>
  <c r="AL16" i="3"/>
  <c r="AF16" i="3"/>
  <c r="AR15" i="3"/>
  <c r="AL15" i="3"/>
  <c r="AF15" i="3"/>
  <c r="AR14" i="3"/>
  <c r="AL14" i="3"/>
  <c r="AF14" i="3"/>
  <c r="AR13" i="3"/>
  <c r="AL13" i="3"/>
  <c r="AF13" i="3"/>
  <c r="AR12" i="3"/>
  <c r="AL12" i="3"/>
  <c r="AF12" i="3"/>
  <c r="AR11" i="3"/>
  <c r="AL11" i="3"/>
  <c r="AF11" i="3"/>
  <c r="AR10" i="3"/>
  <c r="AL10" i="3"/>
  <c r="AF10" i="3"/>
  <c r="AR9" i="3"/>
  <c r="AL9" i="3"/>
  <c r="AF9" i="3"/>
  <c r="AR8" i="3"/>
  <c r="AL8" i="3"/>
  <c r="AF8" i="3"/>
  <c r="AR7" i="3"/>
  <c r="AL7" i="3"/>
  <c r="AF7" i="3"/>
  <c r="AR6" i="3"/>
  <c r="AL6" i="3"/>
  <c r="AF6" i="3"/>
  <c r="AR5" i="3"/>
  <c r="AL5" i="3"/>
  <c r="AF5" i="3"/>
  <c r="AR4" i="3"/>
  <c r="AL4" i="3"/>
  <c r="AF4" i="3"/>
  <c r="AR3" i="3"/>
  <c r="AL3" i="3"/>
  <c r="AF3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BJ27" i="1"/>
  <c r="BG27" i="1"/>
  <c r="BD27" i="1"/>
  <c r="BD28" i="1" s="1" a="1"/>
  <c r="F3" i="2" s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AC28" i="1" s="1" a="1"/>
  <c r="D2" i="2" s="1"/>
  <c r="Z26" i="1"/>
  <c r="W26" i="1"/>
  <c r="T26" i="1"/>
  <c r="Q26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BJ24" i="1"/>
  <c r="BG24" i="1"/>
  <c r="BD24" i="1"/>
  <c r="BD30" i="1" s="1" a="1"/>
  <c r="F18" i="2" s="1"/>
  <c r="BA24" i="1"/>
  <c r="AX24" i="1"/>
  <c r="AX28" i="1" s="1" a="1"/>
  <c r="E8" i="2" s="1"/>
  <c r="AU24" i="1"/>
  <c r="AR24" i="1"/>
  <c r="AO24" i="1"/>
  <c r="AL24" i="1"/>
  <c r="AI24" i="1"/>
  <c r="AF24" i="1"/>
  <c r="AF30" i="1" s="1" a="1"/>
  <c r="D18" i="2" s="1"/>
  <c r="AC24" i="1"/>
  <c r="Z24" i="1"/>
  <c r="Z29" i="1" s="1" a="1"/>
  <c r="C14" i="2" s="1"/>
  <c r="W24" i="1"/>
  <c r="T24" i="1"/>
  <c r="Q24" i="1"/>
  <c r="BJ29" i="1" a="1"/>
  <c r="F14" i="2" s="1"/>
  <c r="AC29" i="1" a="1"/>
  <c r="D11" i="2" s="1"/>
  <c r="BJ28" i="1" a="1"/>
  <c r="F8" i="2" s="1"/>
  <c r="AL28" i="1" a="1"/>
  <c r="D8" i="2" s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BJ21" i="1"/>
  <c r="BG21" i="1"/>
  <c r="BG28" i="1" s="1" a="1"/>
  <c r="F7" i="2" s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BJ20" i="1"/>
  <c r="BG20" i="1"/>
  <c r="BD20" i="1"/>
  <c r="BA20" i="1"/>
  <c r="AX20" i="1"/>
  <c r="AU20" i="1"/>
  <c r="AR20" i="1"/>
  <c r="AO20" i="1"/>
  <c r="AL20" i="1"/>
  <c r="AL30" i="1" s="1" a="1"/>
  <c r="D20" i="2" s="1"/>
  <c r="AI20" i="1"/>
  <c r="AF20" i="1"/>
  <c r="AC20" i="1"/>
  <c r="Z20" i="1"/>
  <c r="W20" i="1"/>
  <c r="T20" i="1"/>
  <c r="Q20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E27" i="1"/>
  <c r="N27" i="1"/>
  <c r="K27" i="1"/>
  <c r="H27" i="1"/>
  <c r="N26" i="1"/>
  <c r="K26" i="1"/>
  <c r="H26" i="1"/>
  <c r="E26" i="1"/>
  <c r="N25" i="1"/>
  <c r="K25" i="1"/>
  <c r="H25" i="1"/>
  <c r="E25" i="1"/>
  <c r="N24" i="1"/>
  <c r="K24" i="1"/>
  <c r="H24" i="1"/>
  <c r="E24" i="1"/>
  <c r="N23" i="1"/>
  <c r="K23" i="1"/>
  <c r="H23" i="1"/>
  <c r="E23" i="1"/>
  <c r="N22" i="1"/>
  <c r="K22" i="1"/>
  <c r="H22" i="1"/>
  <c r="E22" i="1"/>
  <c r="N21" i="1"/>
  <c r="K21" i="1"/>
  <c r="H21" i="1"/>
  <c r="E21" i="1"/>
  <c r="N20" i="1"/>
  <c r="K20" i="1"/>
  <c r="H20" i="1"/>
  <c r="E20" i="1"/>
  <c r="N19" i="1"/>
  <c r="K19" i="1"/>
  <c r="H19" i="1"/>
  <c r="E19" i="1"/>
  <c r="N18" i="1"/>
  <c r="K18" i="1"/>
  <c r="H18" i="1"/>
  <c r="E18" i="1"/>
  <c r="N17" i="1"/>
  <c r="K17" i="1"/>
  <c r="H17" i="1"/>
  <c r="E17" i="1"/>
  <c r="N16" i="1"/>
  <c r="K16" i="1"/>
  <c r="H16" i="1"/>
  <c r="E16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E15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E14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E13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E12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E11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E10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E9" i="1"/>
  <c r="BJ8" i="1"/>
  <c r="BG8" i="1"/>
  <c r="BD8" i="1"/>
  <c r="BA8" i="1"/>
  <c r="AX8" i="1"/>
  <c r="AU8" i="1"/>
  <c r="AR8" i="1"/>
  <c r="AO8" i="1"/>
  <c r="AL8" i="1"/>
  <c r="AI8" i="1"/>
  <c r="AF8" i="1"/>
  <c r="AC8" i="1"/>
  <c r="Z8" i="1"/>
  <c r="W8" i="1"/>
  <c r="T8" i="1"/>
  <c r="Q8" i="1"/>
  <c r="N8" i="1"/>
  <c r="K8" i="1"/>
  <c r="H8" i="1"/>
  <c r="E8" i="1"/>
  <c r="BJ7" i="1"/>
  <c r="BG7" i="1"/>
  <c r="BD7" i="1"/>
  <c r="BA7" i="1"/>
  <c r="AX7" i="1"/>
  <c r="AU7" i="1"/>
  <c r="AR7" i="1"/>
  <c r="AO7" i="1"/>
  <c r="AL7" i="1"/>
  <c r="AI7" i="1"/>
  <c r="AF7" i="1"/>
  <c r="AC7" i="1"/>
  <c r="Z7" i="1"/>
  <c r="W7" i="1"/>
  <c r="T7" i="1"/>
  <c r="Q7" i="1"/>
  <c r="N7" i="1"/>
  <c r="K7" i="1"/>
  <c r="H7" i="1"/>
  <c r="E7" i="1"/>
  <c r="BJ6" i="1"/>
  <c r="BG6" i="1"/>
  <c r="BD6" i="1"/>
  <c r="BA6" i="1"/>
  <c r="AX6" i="1"/>
  <c r="AU6" i="1"/>
  <c r="AR6" i="1"/>
  <c r="AO6" i="1"/>
  <c r="AL6" i="1"/>
  <c r="AI6" i="1"/>
  <c r="AF6" i="1"/>
  <c r="AC6" i="1"/>
  <c r="Z6" i="1"/>
  <c r="W6" i="1"/>
  <c r="T6" i="1"/>
  <c r="Q6" i="1"/>
  <c r="N6" i="1"/>
  <c r="K6" i="1"/>
  <c r="H6" i="1"/>
  <c r="E6" i="1"/>
  <c r="BJ5" i="1"/>
  <c r="BG5" i="1"/>
  <c r="BD5" i="1"/>
  <c r="BA5" i="1"/>
  <c r="AX5" i="1"/>
  <c r="AU5" i="1"/>
  <c r="AR5" i="1"/>
  <c r="AO5" i="1"/>
  <c r="AL5" i="1"/>
  <c r="AI5" i="1"/>
  <c r="AF5" i="1"/>
  <c r="AC5" i="1"/>
  <c r="Z5" i="1"/>
  <c r="W5" i="1"/>
  <c r="T5" i="1"/>
  <c r="Q5" i="1"/>
  <c r="N5" i="1"/>
  <c r="K5" i="1"/>
  <c r="H5" i="1"/>
  <c r="E5" i="1"/>
  <c r="BJ4" i="1"/>
  <c r="BG4" i="1"/>
  <c r="BD4" i="1"/>
  <c r="BA4" i="1"/>
  <c r="AX4" i="1"/>
  <c r="AU4" i="1"/>
  <c r="AR4" i="1"/>
  <c r="AO4" i="1"/>
  <c r="AL4" i="1"/>
  <c r="AI4" i="1"/>
  <c r="AF4" i="1"/>
  <c r="AC4" i="1"/>
  <c r="Z4" i="1"/>
  <c r="W4" i="1"/>
  <c r="T4" i="1"/>
  <c r="Q4" i="1"/>
  <c r="N4" i="1"/>
  <c r="K4" i="1"/>
  <c r="H4" i="1"/>
  <c r="E4" i="1"/>
  <c r="AM29" i="6" l="1" a="1"/>
  <c r="AC29" i="6" a="1"/>
  <c r="S29" i="6" a="1"/>
  <c r="I29" i="6" a="1"/>
  <c r="O31" i="6" a="1"/>
  <c r="O30" i="6" a="1"/>
  <c r="O32" i="6" a="1"/>
  <c r="N32" i="6" a="1"/>
  <c r="M32" i="6" a="1"/>
  <c r="P32" i="6" a="1"/>
  <c r="O29" i="6" a="1"/>
  <c r="E29" i="6" a="1"/>
  <c r="AC35" i="4"/>
  <c r="Y35" i="4"/>
  <c r="U35" i="4"/>
  <c r="Q35" i="4"/>
  <c r="AH31" i="8" a="1"/>
  <c r="Q31" i="8" a="1"/>
  <c r="G31" i="8" a="1"/>
  <c r="AR31" i="8" a="1"/>
  <c r="AM31" i="8" a="1"/>
  <c r="AC31" i="8" a="1"/>
  <c r="V31" i="8" a="1"/>
  <c r="AS31" i="7" a="1"/>
  <c r="AZ31" i="7" a="1"/>
  <c r="AE31" i="7" a="1"/>
  <c r="G31" i="7" a="1"/>
  <c r="H31" i="4" a="1"/>
  <c r="X31" i="4" a="1"/>
  <c r="T31" i="4" a="1"/>
  <c r="AR31" i="3" a="1"/>
  <c r="AL31" i="3" a="1"/>
  <c r="AF31" i="3" a="1"/>
  <c r="Z31" i="3" a="1"/>
  <c r="R31" i="3" a="1"/>
  <c r="N31" i="3" a="1"/>
  <c r="J31" i="3" a="1"/>
  <c r="E31" i="4" a="1"/>
  <c r="BD29" i="1" a="1"/>
  <c r="F12" i="2" s="1"/>
  <c r="BA28" i="1" a="1"/>
  <c r="F2" i="2" s="1"/>
  <c r="AU30" i="1" a="1"/>
  <c r="E19" i="2" s="1"/>
  <c r="AO30" i="1" a="1"/>
  <c r="E17" i="2" s="1"/>
  <c r="AI30" i="1" a="1"/>
  <c r="D19" i="2" s="1"/>
  <c r="AF29" i="1" a="1"/>
  <c r="D12" i="2" s="1"/>
  <c r="AF28" i="1" a="1"/>
  <c r="D3" i="2" s="1"/>
  <c r="AC30" i="1" a="1"/>
  <c r="D17" i="2" s="1"/>
  <c r="Z30" i="1" a="1"/>
  <c r="C20" i="2" s="1"/>
  <c r="W28" i="1" a="1"/>
  <c r="C7" i="2" s="1"/>
  <c r="AO28" i="1" a="1"/>
  <c r="E2" i="2" s="1"/>
  <c r="AU29" i="1" a="1"/>
  <c r="E13" i="2" s="1"/>
  <c r="AU28" i="1" a="1"/>
  <c r="E7" i="2" s="1"/>
  <c r="AX29" i="1" a="1"/>
  <c r="E14" i="2" s="1"/>
  <c r="AX30" i="1" a="1"/>
  <c r="E20" i="2" s="1"/>
  <c r="AO29" i="1" a="1"/>
  <c r="E11" i="2" s="1"/>
  <c r="Z28" i="1" a="1"/>
  <c r="C8" i="2" s="1"/>
  <c r="BA29" i="1" a="1"/>
  <c r="F11" i="2" s="1"/>
  <c r="BA30" i="1" a="1"/>
  <c r="F17" i="2" s="1"/>
  <c r="T29" i="1" a="1"/>
  <c r="C12" i="2" s="1"/>
  <c r="AR29" i="1" a="1"/>
  <c r="E12" i="2" s="1"/>
  <c r="T28" i="1" a="1"/>
  <c r="C3" i="2" s="1"/>
  <c r="H30" i="1" a="1"/>
  <c r="B18" i="2" s="1"/>
  <c r="BJ30" i="1" a="1"/>
  <c r="F20" i="2" s="1"/>
  <c r="BG29" i="1" a="1"/>
  <c r="F13" i="2" s="1"/>
  <c r="BG30" i="1" a="1"/>
  <c r="F19" i="2" s="1"/>
  <c r="AR30" i="1" a="1"/>
  <c r="E18" i="2" s="1"/>
  <c r="AR28" i="1" a="1"/>
  <c r="E3" i="2" s="1"/>
  <c r="AL29" i="1" a="1"/>
  <c r="D14" i="2" s="1"/>
  <c r="AI28" i="1" a="1"/>
  <c r="D7" i="2" s="1"/>
  <c r="AI29" i="1" a="1"/>
  <c r="D13" i="2" s="1"/>
  <c r="W30" i="1" a="1"/>
  <c r="C19" i="2" s="1"/>
  <c r="W29" i="1" a="1"/>
  <c r="C13" i="2" s="1"/>
  <c r="T30" i="1" a="1"/>
  <c r="C18" i="2" s="1"/>
  <c r="Q28" i="1" a="1"/>
  <c r="C2" i="2" s="1"/>
  <c r="Q30" i="1" a="1"/>
  <c r="C17" i="2" s="1"/>
  <c r="Q29" i="1" a="1"/>
  <c r="C11" i="2" s="1"/>
  <c r="N29" i="1" a="1"/>
  <c r="B14" i="2" s="1"/>
  <c r="N30" i="1" a="1"/>
  <c r="B20" i="2" s="1"/>
  <c r="N28" i="1" a="1"/>
  <c r="B8" i="2" s="1"/>
  <c r="K28" i="1" a="1"/>
  <c r="B7" i="2" s="1"/>
  <c r="K29" i="1" a="1"/>
  <c r="B13" i="2" s="1"/>
  <c r="K30" i="1" a="1"/>
  <c r="B19" i="2" s="1"/>
  <c r="H29" i="1" a="1"/>
  <c r="B12" i="2" s="1"/>
  <c r="H28" i="1" a="1"/>
  <c r="B3" i="2" s="1"/>
  <c r="E30" i="1" a="1"/>
  <c r="B17" i="2" s="1"/>
  <c r="E29" i="1" a="1"/>
  <c r="B11" i="2" s="1"/>
  <c r="E28" i="1" a="1"/>
  <c r="B2" i="2" s="1"/>
  <c r="F3" i="3"/>
  <c r="F31" i="3" s="1" a="1"/>
  <c r="L3" i="7"/>
  <c r="L31" i="7" s="1" a="1"/>
  <c r="Q26" i="7"/>
  <c r="Q31" i="7" a="1"/>
  <c r="V26" i="7"/>
  <c r="V31" i="7" a="1"/>
  <c r="AL31" i="7" a="1"/>
  <c r="L31" i="8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tc={A786A56C-4709-4974-9E77-D6DB9047D7B6}</author>
  </authors>
  <commentList>
    <comment ref="AH7" authorId="0" shapeId="0" xr:uid="{A786A56C-4709-4974-9E77-D6DB9047D7B6}">
      <text>
        <t>[Threaded comment]
Your version of Excel allows you to read this threaded comment; however, any edits to it will get removed if the file is opened in a newer version of Excel. Learn more: https://go.microsoft.com/fwlink/?linkid=870924
Comment:
    0.49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<sst xmlns="http://schemas.openxmlformats.org/spreadsheetml/2006/main" count="1850" uniqueCount="222">
  <si>
    <t>Tipo</t>
  </si>
  <si>
    <t>Forecast</t>
  </si>
  <si>
    <t>2020-21</t>
  </si>
  <si>
    <t>2021-22</t>
  </si>
  <si>
    <t>2022-23</t>
  </si>
  <si>
    <t>2023-24</t>
  </si>
  <si>
    <t>2024-25</t>
  </si>
  <si>
    <t>2025-26</t>
  </si>
  <si>
    <t>Real</t>
  </si>
  <si>
    <t>Previsto</t>
  </si>
  <si>
    <t>Erro</t>
  </si>
  <si>
    <t>Abril'20</t>
  </si>
  <si>
    <t>Julho'20</t>
  </si>
  <si>
    <t>Outubro'20</t>
  </si>
  <si>
    <t>Janeiro'21</t>
  </si>
  <si>
    <t>Abril'21</t>
  </si>
  <si>
    <t>Julho'21</t>
  </si>
  <si>
    <t>Outubro'21</t>
  </si>
  <si>
    <t>Janeiro'22</t>
  </si>
  <si>
    <t>Abril'22</t>
  </si>
  <si>
    <t>Julho'22</t>
  </si>
  <si>
    <t>Outubro'22</t>
  </si>
  <si>
    <t>Janeiro'23</t>
  </si>
  <si>
    <t>Abril'23</t>
  </si>
  <si>
    <t>Julho'23</t>
  </si>
  <si>
    <t>Outubro'23</t>
  </si>
  <si>
    <t>Janeiro'24</t>
  </si>
  <si>
    <t>Abril'24</t>
  </si>
  <si>
    <t>Julho'24</t>
  </si>
  <si>
    <t>Outubro'24</t>
  </si>
  <si>
    <t>Janeiro'25</t>
  </si>
  <si>
    <t>Abril'25</t>
  </si>
  <si>
    <t>Julho'25</t>
  </si>
  <si>
    <t>Outubro'25</t>
  </si>
  <si>
    <t>Janeiro'26</t>
  </si>
  <si>
    <t>Bitcoin</t>
  </si>
  <si>
    <t>S&amp;P 500</t>
  </si>
  <si>
    <t>Asset</t>
  </si>
  <si>
    <t>Gold</t>
  </si>
  <si>
    <t>EUR/USD</t>
  </si>
  <si>
    <t>ABS AVG</t>
  </si>
  <si>
    <t>MAX DIF</t>
  </si>
  <si>
    <t>ABS P50</t>
  </si>
  <si>
    <t>Monthly Propagating</t>
  </si>
  <si>
    <t>Static</t>
  </si>
  <si>
    <t>Monthly</t>
  </si>
  <si>
    <t>Rolling Window Propagating</t>
  </si>
  <si>
    <t>Rolling Window (24-month)</t>
  </si>
  <si>
    <t>Monthly Prop</t>
  </si>
  <si>
    <t>Rolling</t>
  </si>
  <si>
    <t>Rolling Prop</t>
  </si>
  <si>
    <t>S&amp;P500</t>
  </si>
  <si>
    <t>MEDIANA</t>
  </si>
  <si>
    <t>Ordem</t>
  </si>
  <si>
    <t>Ano previsto</t>
  </si>
  <si>
    <t>1'Abril'20</t>
  </si>
  <si>
    <t>1'Julho'20</t>
  </si>
  <si>
    <t>1'Outubro'20</t>
  </si>
  <si>
    <t>1'Janeiro'21</t>
  </si>
  <si>
    <t>1'Abril'21</t>
  </si>
  <si>
    <t>1'Julho'21</t>
  </si>
  <si>
    <t>1'Outubro'21</t>
  </si>
  <si>
    <t>1'Janeiro'22</t>
  </si>
  <si>
    <t>1'Abril'22</t>
  </si>
  <si>
    <t>1'Julho'22</t>
  </si>
  <si>
    <t>1'Outubro'22</t>
  </si>
  <si>
    <t>1'Janeiro'23</t>
  </si>
  <si>
    <t>1'Abril'23</t>
  </si>
  <si>
    <t>1'Julho'23</t>
  </si>
  <si>
    <t>1'Outubro'23</t>
  </si>
  <si>
    <t>1'Janeiro'24</t>
  </si>
  <si>
    <t>1'Abril'24</t>
  </si>
  <si>
    <t>1'Julho'24</t>
  </si>
  <si>
    <t>1'Outubro'24</t>
  </si>
  <si>
    <t>1'Janeiro'25</t>
  </si>
  <si>
    <t>1'Abril'25</t>
  </si>
  <si>
    <t>1'Julho'25</t>
  </si>
  <si>
    <t>1'Outubro'25</t>
  </si>
  <si>
    <t>1'Janeiro'26</t>
  </si>
  <si>
    <t>1'Abril'26</t>
  </si>
  <si>
    <t>1'Julho'26</t>
  </si>
  <si>
    <t>1'Outubro'26</t>
  </si>
  <si>
    <t>1'Janeiro'27</t>
  </si>
  <si>
    <t>(3,0,2)</t>
  </si>
  <si>
    <t>(1,0,0)</t>
  </si>
  <si>
    <t>Monthly Model</t>
  </si>
  <si>
    <t>Static Model</t>
  </si>
  <si>
    <t>Parâmetros</t>
  </si>
  <si>
    <t xml:space="preserve">AR1: </t>
  </si>
  <si>
    <t xml:space="preserve">AR2: </t>
  </si>
  <si>
    <t xml:space="preserve">AR3: </t>
  </si>
  <si>
    <t xml:space="preserve">Cte: </t>
  </si>
  <si>
    <t>MA1:</t>
  </si>
  <si>
    <t>MA2:</t>
  </si>
  <si>
    <t>MA3:</t>
  </si>
  <si>
    <t>Estrutura</t>
  </si>
  <si>
    <t xml:space="preserve">sigma2: </t>
  </si>
  <si>
    <t>LONG RUN 2020-2025</t>
  </si>
  <si>
    <t>ASSET</t>
  </si>
  <si>
    <t>Jan 1st, 2026</t>
  </si>
  <si>
    <t>Constante</t>
  </si>
  <si>
    <t>Sigma2</t>
  </si>
  <si>
    <t>AR1</t>
  </si>
  <si>
    <t>AR2</t>
  </si>
  <si>
    <t>AR3</t>
  </si>
  <si>
    <t>MA1</t>
  </si>
  <si>
    <t>MA2</t>
  </si>
  <si>
    <t>-</t>
  </si>
  <si>
    <t>AVG(ABS)</t>
  </si>
  <si>
    <t xml:space="preserve">μ = </t>
  </si>
  <si>
    <t xml:space="preserve">σ = </t>
  </si>
  <si>
    <t>CONTINUEI APENAS O MONTHLY (MELHOR) E O STATIC (CURIOSO), MELHOREI O MONTHLY MAS OS ERROS PIORARAM BASTANTE PORQUE NOTEI UM ERRO NO ANCHORING - ERA FEITO ANTES DO PRINT, NÃO DEPOIS</t>
  </si>
  <si>
    <t>μ (daily drift)</t>
  </si>
  <si>
    <t>σ (daily volatility)</t>
  </si>
  <si>
    <t>RANDOM WALK - LONG RUN 2020-2025</t>
  </si>
  <si>
    <t>Sigma2 (ARIMA)</t>
  </si>
  <si>
    <t>σ^2</t>
  </si>
  <si>
    <t>ARIMA</t>
  </si>
  <si>
    <t>RW</t>
  </si>
  <si>
    <t>Important features</t>
  </si>
  <si>
    <t>n_estimators</t>
  </si>
  <si>
    <t>max_depth</t>
  </si>
  <si>
    <t>learn_rate</t>
  </si>
  <si>
    <t>MAE</t>
  </si>
  <si>
    <t>XGBoost</t>
  </si>
  <si>
    <t>RNN</t>
  </si>
  <si>
    <t>STD(ABS)</t>
  </si>
  <si>
    <t>MAX(ABS)</t>
  </si>
  <si>
    <t># BIGGEST</t>
  </si>
  <si>
    <t>mom_21</t>
  </si>
  <si>
    <t>lag_1</t>
  </si>
  <si>
    <t>Important features (&gt;0.08)</t>
  </si>
  <si>
    <t>#1</t>
  </si>
  <si>
    <t>#2</t>
  </si>
  <si>
    <t>#3</t>
  </si>
  <si>
    <t>#4</t>
  </si>
  <si>
    <t>#5</t>
  </si>
  <si>
    <t>#6</t>
  </si>
  <si>
    <t>#7</t>
  </si>
  <si>
    <t>#8</t>
  </si>
  <si>
    <t>lag_21</t>
  </si>
  <si>
    <t>lag_10</t>
  </si>
  <si>
    <t>vol_5</t>
  </si>
  <si>
    <t>.</t>
  </si>
  <si>
    <t>lag_2</t>
  </si>
  <si>
    <t>lag_3</t>
  </si>
  <si>
    <t>vol_21</t>
  </si>
  <si>
    <t>ma_gap_21</t>
  </si>
  <si>
    <t>vol_ratio</t>
  </si>
  <si>
    <t>mom_5</t>
  </si>
  <si>
    <t>lag_5</t>
  </si>
  <si>
    <t>dow</t>
  </si>
  <si>
    <t>lag_x</t>
  </si>
  <si>
    <t>[1, 2, 3, 5, 10, 21]</t>
  </si>
  <si>
    <t>Log return x days ago</t>
  </si>
  <si>
    <t>mom_x</t>
  </si>
  <si>
    <t>[5, 21]</t>
  </si>
  <si>
    <t>Cumulative return over last x days (momentum)</t>
  </si>
  <si>
    <t>vol_x</t>
  </si>
  <si>
    <t>Standard deviation of log returns over last x days</t>
  </si>
  <si>
    <t>vol_5 / vol_21</t>
  </si>
  <si>
    <t>Over 1 means short term stress is high</t>
  </si>
  <si>
    <t>log(today/last 21 mean)</t>
  </si>
  <si>
    <t>How relatively high current price is</t>
  </si>
  <si>
    <t>Monday = 0; Sunday = 6</t>
  </si>
  <si>
    <t>Day of week</t>
  </si>
  <si>
    <t>is_filled</t>
  </si>
  <si>
    <t>Equal to 0 or 1 (weekend)</t>
  </si>
  <si>
    <t>Knowing when it forward filled allows it to know when log return is zero</t>
  </si>
  <si>
    <t>XGBoost - LONG RUN 2020-2025</t>
  </si>
  <si>
    <t>learning_rate</t>
  </si>
  <si>
    <t>#1 feature</t>
  </si>
  <si>
    <t>#2 feature</t>
  </si>
  <si>
    <t>#3 feature</t>
  </si>
  <si>
    <t>#4 feature</t>
  </si>
  <si>
    <t>#5 feature</t>
  </si>
  <si>
    <t>FEATURES</t>
  </si>
  <si>
    <t>COUNT</t>
  </si>
  <si>
    <t>FEATURES COUNT ALL</t>
  </si>
  <si>
    <t xml:space="preserve">Random Walk </t>
  </si>
  <si>
    <t>Random Walk</t>
  </si>
  <si>
    <t>COVID crash and liquidation</t>
  </si>
  <si>
    <t>Real world</t>
  </si>
  <si>
    <t>Liquidity at zero rates by the FED</t>
  </si>
  <si>
    <t>China prohibits mining</t>
  </si>
  <si>
    <t>FED raised rates 11 times, making Bitcoin more difficult to buy and FTX goes banrupt</t>
  </si>
  <si>
    <t>Banking crisis and BTC brief safe haven</t>
  </si>
  <si>
    <t>Approval of BTC ETF and stock correlation</t>
  </si>
  <si>
    <t>The AI boom helps BTC. However the FED lowers rates and BTC does not explode as expected, creating uncertainty in late 2025</t>
  </si>
  <si>
    <t>COVID crash</t>
  </si>
  <si>
    <t xml:space="preserve">FED's zero rates policy and economic stimulus grows the S&amp;P </t>
  </si>
  <si>
    <t>Investors got clarity that the FED was done raising rates</t>
  </si>
  <si>
    <t>The AI boom and Magnificent 7 enormous growth</t>
  </si>
  <si>
    <t>Bubble threat and AI uncertainty</t>
  </si>
  <si>
    <t>COVID turns investors to gold</t>
  </si>
  <si>
    <t>FED's zero rates policy makes it easy to buy gold</t>
  </si>
  <si>
    <t>FED increases rates 11 times, making it difficult to invest + Russia- Ukraine war</t>
  </si>
  <si>
    <t>The war turns investors to gold but the higher FED's rates difficult buying it</t>
  </si>
  <si>
    <t>Banking crisis pushes people to save their money in assets</t>
  </si>
  <si>
    <t>Gold's historical rally due to FED's rate cuts and geopolitical tensions. The war and tariffs made central banks buy gold to diversify from the weakened US dollars</t>
  </si>
  <si>
    <t>COVID weakened the EUR more than the USD which was the flight-to-safety currency, and the US recovered faster than the EU, with lower rates for longer</t>
  </si>
  <si>
    <t>The war in Europe crashed the EUR further, and the FED was able to raise rates before the ECB, making USD even more attractive</t>
  </si>
  <si>
    <t>Europe stabilized, and so did the EUR, above the USD</t>
  </si>
  <si>
    <t>The EUR/USD rallied due to FED cutting rates faster than the ECB, and geopolitical uncertainty</t>
  </si>
  <si>
    <t>AVG(mu)</t>
  </si>
  <si>
    <t>AVG(sigma)</t>
  </si>
  <si>
    <t>Coef. variação</t>
  </si>
  <si>
    <t>seq_len</t>
  </si>
  <si>
    <t>num_layers</t>
  </si>
  <si>
    <t>hidden_size</t>
  </si>
  <si>
    <t># NEGATIVE</t>
  </si>
  <si>
    <t># POSITIVE</t>
  </si>
  <si>
    <t>RNN - LONG RUN 2020-2025</t>
  </si>
  <si>
    <t>Long Run 2020-2026</t>
  </si>
  <si>
    <t>Real Value</t>
  </si>
  <si>
    <t>Model</t>
  </si>
  <si>
    <t>Long Run</t>
  </si>
  <si>
    <t>p-value</t>
  </si>
  <si>
    <t>Win rate</t>
  </si>
  <si>
    <t>Lower than RW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</si>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</sst>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%"/>
    <numFmt numFmtId="166" formatCode="0.000000"/>
    <numFmt numFmtId="167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2BDFF"/>
        <bgColor indexed="64"/>
      </patternFill>
    </fill>
    <fill>
      <patternFill patternType="solid">
        <fgColor rgb="FFF33621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BE71F3"/>
        <bgColor indexed="64"/>
      </patternFill>
    </fill>
    <fill>
      <patternFill patternType="solid">
        <fgColor rgb="FFEF9B9B"/>
        <bgColor indexed="64"/>
      </patternFill>
    </fill>
    <fill>
      <patternFill patternType="solid">
        <fgColor rgb="FFA3E3FF"/>
        <bgColor indexed="64"/>
      </patternFill>
    </fill>
    <fill>
      <patternFill patternType="solid">
        <fgColor rgb="FFFBB6AF"/>
        <bgColor indexed="64"/>
      </patternFill>
    </fill>
    <fill>
      <patternFill patternType="solid">
        <fgColor rgb="FFFFE089"/>
        <bgColor indexed="64"/>
      </patternFill>
    </fill>
    <fill>
      <patternFill patternType="solid">
        <fgColor rgb="FFAADAA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A7A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39997558519241921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7">
    <xf numFmtId="0" fontId="0" fillId="0" borderId="0" xfId="0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0" fontId="0" fillId="5" borderId="21" xfId="1" applyNumberFormat="1" applyFont="1" applyFill="1" applyBorder="1" applyAlignment="1">
      <alignment horizontal="center" vertical="center"/>
    </xf>
    <xf numFmtId="10" fontId="0" fillId="5" borderId="17" xfId="1" applyNumberFormat="1" applyFont="1" applyFill="1" applyBorder="1" applyAlignment="1">
      <alignment horizontal="center" vertical="center"/>
    </xf>
    <xf numFmtId="10" fontId="0" fillId="5" borderId="12" xfId="1" applyNumberFormat="1" applyFont="1" applyFill="1" applyBorder="1" applyAlignment="1">
      <alignment horizontal="center" vertical="center"/>
    </xf>
    <xf numFmtId="10" fontId="0" fillId="5" borderId="25" xfId="1" applyNumberFormat="1" applyFont="1" applyFill="1" applyBorder="1" applyAlignment="1">
      <alignment horizontal="center" vertical="center"/>
    </xf>
    <xf numFmtId="10" fontId="0" fillId="6" borderId="21" xfId="1" applyNumberFormat="1" applyFont="1" applyFill="1" applyBorder="1" applyAlignment="1">
      <alignment horizontal="center" vertical="center"/>
    </xf>
    <xf numFmtId="10" fontId="0" fillId="6" borderId="17" xfId="1" applyNumberFormat="1" applyFont="1" applyFill="1" applyBorder="1" applyAlignment="1">
      <alignment horizontal="center" vertical="center"/>
    </xf>
    <xf numFmtId="10" fontId="0" fillId="6" borderId="12" xfId="1" applyNumberFormat="1" applyFont="1" applyFill="1" applyBorder="1" applyAlignment="1">
      <alignment horizontal="center" vertical="center"/>
    </xf>
    <xf numFmtId="10" fontId="0" fillId="6" borderId="25" xfId="1" applyNumberFormat="1" applyFont="1" applyFill="1" applyBorder="1" applyAlignment="1">
      <alignment horizontal="center" vertical="center"/>
    </xf>
    <xf numFmtId="10" fontId="0" fillId="7" borderId="21" xfId="1" applyNumberFormat="1" applyFont="1" applyFill="1" applyBorder="1" applyAlignment="1">
      <alignment horizontal="center" vertical="center"/>
    </xf>
    <xf numFmtId="10" fontId="0" fillId="7" borderId="17" xfId="1" applyNumberFormat="1" applyFont="1" applyFill="1" applyBorder="1" applyAlignment="1">
      <alignment horizontal="center" vertical="center"/>
    </xf>
    <xf numFmtId="10" fontId="0" fillId="7" borderId="12" xfId="1" applyNumberFormat="1" applyFont="1" applyFill="1" applyBorder="1" applyAlignment="1">
      <alignment horizontal="center" vertical="center"/>
    </xf>
    <xf numFmtId="10" fontId="0" fillId="7" borderId="25" xfId="1" applyNumberFormat="1" applyFont="1" applyFill="1" applyBorder="1" applyAlignment="1">
      <alignment horizontal="center" vertical="center"/>
    </xf>
    <xf numFmtId="10" fontId="0" fillId="8" borderId="3" xfId="1" applyNumberFormat="1" applyFont="1" applyFill="1" applyBorder="1" applyAlignment="1">
      <alignment horizontal="center" vertical="center"/>
    </xf>
    <xf numFmtId="10" fontId="0" fillId="8" borderId="0" xfId="1" applyNumberFormat="1" applyFont="1" applyFill="1" applyBorder="1" applyAlignment="1">
      <alignment horizontal="center" vertical="center"/>
    </xf>
    <xf numFmtId="10" fontId="0" fillId="8" borderId="11" xfId="1" applyNumberFormat="1" applyFont="1" applyFill="1" applyBorder="1" applyAlignment="1">
      <alignment horizontal="center" vertical="center"/>
    </xf>
    <xf numFmtId="10" fontId="0" fillId="8" borderId="8" xfId="1" applyNumberFormat="1" applyFont="1" applyFill="1" applyBorder="1" applyAlignment="1">
      <alignment horizontal="center" vertical="center"/>
    </xf>
    <xf numFmtId="10" fontId="0" fillId="8" borderId="17" xfId="1" applyNumberFormat="1" applyFont="1" applyFill="1" applyBorder="1" applyAlignment="1">
      <alignment horizontal="center" vertical="center"/>
    </xf>
    <xf numFmtId="10" fontId="0" fillId="8" borderId="4" xfId="1" applyNumberFormat="1" applyFont="1" applyFill="1" applyBorder="1" applyAlignment="1">
      <alignment horizontal="center" vertical="center"/>
    </xf>
    <xf numFmtId="10" fontId="0" fillId="8" borderId="6" xfId="1" applyNumberFormat="1" applyFont="1" applyFill="1" applyBorder="1" applyAlignment="1">
      <alignment horizontal="center" vertical="center"/>
    </xf>
    <xf numFmtId="10" fontId="0" fillId="8" borderId="24" xfId="1" applyNumberFormat="1" applyFont="1" applyFill="1" applyBorder="1" applyAlignment="1">
      <alignment horizontal="center" vertical="center"/>
    </xf>
    <xf numFmtId="10" fontId="0" fillId="8" borderId="9" xfId="1" applyNumberFormat="1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2" fontId="0" fillId="11" borderId="2" xfId="0" applyNumberFormat="1" applyFill="1" applyBorder="1" applyAlignment="1">
      <alignment horizontal="center" vertical="center"/>
    </xf>
    <xf numFmtId="2" fontId="0" fillId="11" borderId="3" xfId="0" applyNumberFormat="1" applyFill="1" applyBorder="1" applyAlignment="1">
      <alignment horizontal="center" vertical="center"/>
    </xf>
    <xf numFmtId="2" fontId="0" fillId="11" borderId="5" xfId="0" applyNumberFormat="1" applyFill="1" applyBorder="1" applyAlignment="1">
      <alignment horizontal="center" vertical="center"/>
    </xf>
    <xf numFmtId="2" fontId="0" fillId="11" borderId="22" xfId="0" applyNumberForma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2" fontId="0" fillId="11" borderId="23" xfId="0" applyNumberFormat="1" applyFill="1" applyBorder="1" applyAlignment="1">
      <alignment horizontal="center" vertical="center"/>
    </xf>
    <xf numFmtId="2" fontId="0" fillId="11" borderId="11" xfId="0" applyNumberFormat="1" applyFill="1" applyBorder="1" applyAlignment="1">
      <alignment horizontal="center" vertical="center"/>
    </xf>
    <xf numFmtId="2" fontId="0" fillId="11" borderId="7" xfId="0" applyNumberFormat="1" applyFill="1" applyBorder="1" applyAlignment="1">
      <alignment horizontal="center" vertical="center"/>
    </xf>
    <xf numFmtId="2" fontId="0" fillId="11" borderId="8" xfId="0" applyNumberFormat="1" applyFill="1" applyBorder="1" applyAlignment="1">
      <alignment horizontal="center" vertical="center"/>
    </xf>
    <xf numFmtId="2" fontId="0" fillId="12" borderId="14" xfId="0" applyNumberFormat="1" applyFill="1" applyBorder="1" applyAlignment="1">
      <alignment horizontal="center" vertical="center"/>
    </xf>
    <xf numFmtId="2" fontId="0" fillId="12" borderId="3" xfId="0" applyNumberFormat="1" applyFill="1" applyBorder="1" applyAlignment="1">
      <alignment horizontal="center" vertical="center"/>
    </xf>
    <xf numFmtId="2" fontId="0" fillId="12" borderId="15" xfId="0" applyNumberFormat="1" applyFill="1" applyBorder="1" applyAlignment="1">
      <alignment horizontal="center" vertical="center"/>
    </xf>
    <xf numFmtId="2" fontId="0" fillId="12" borderId="13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2" fontId="0" fillId="12" borderId="10" xfId="0" applyNumberFormat="1" applyFill="1" applyBorder="1" applyAlignment="1">
      <alignment horizontal="center" vertical="center"/>
    </xf>
    <xf numFmtId="2" fontId="0" fillId="12" borderId="11" xfId="0" applyNumberFormat="1" applyFill="1" applyBorder="1" applyAlignment="1">
      <alignment horizontal="center" vertical="center"/>
    </xf>
    <xf numFmtId="2" fontId="0" fillId="12" borderId="16" xfId="0" applyNumberFormat="1" applyFill="1" applyBorder="1" applyAlignment="1">
      <alignment horizontal="center" vertical="center"/>
    </xf>
    <xf numFmtId="2" fontId="0" fillId="12" borderId="8" xfId="0" applyNumberFormat="1" applyFill="1" applyBorder="1" applyAlignment="1">
      <alignment horizontal="center" vertical="center"/>
    </xf>
    <xf numFmtId="2" fontId="0" fillId="13" borderId="14" xfId="0" applyNumberFormat="1" applyFill="1" applyBorder="1" applyAlignment="1">
      <alignment horizontal="center" vertical="center"/>
    </xf>
    <xf numFmtId="2" fontId="0" fillId="13" borderId="3" xfId="0" applyNumberFormat="1" applyFill="1" applyBorder="1" applyAlignment="1">
      <alignment horizontal="center" vertical="center"/>
    </xf>
    <xf numFmtId="2" fontId="0" fillId="13" borderId="15" xfId="0" applyNumberFormat="1" applyFill="1" applyBorder="1" applyAlignment="1">
      <alignment horizontal="center" vertical="center"/>
    </xf>
    <xf numFmtId="2" fontId="0" fillId="13" borderId="13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2" fontId="0" fillId="13" borderId="10" xfId="0" applyNumberFormat="1" applyFill="1" applyBorder="1" applyAlignment="1">
      <alignment horizontal="center" vertical="center"/>
    </xf>
    <xf numFmtId="2" fontId="0" fillId="13" borderId="11" xfId="0" applyNumberFormat="1" applyFill="1" applyBorder="1" applyAlignment="1">
      <alignment horizontal="center" vertical="center"/>
    </xf>
    <xf numFmtId="2" fontId="0" fillId="13" borderId="16" xfId="0" applyNumberFormat="1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164" fontId="0" fillId="14" borderId="14" xfId="0" applyNumberFormat="1" applyFill="1" applyBorder="1" applyAlignment="1">
      <alignment horizontal="center" vertical="center"/>
    </xf>
    <xf numFmtId="164" fontId="0" fillId="14" borderId="3" xfId="0" applyNumberFormat="1" applyFill="1" applyBorder="1" applyAlignment="1">
      <alignment horizontal="center" vertical="center"/>
    </xf>
    <xf numFmtId="164" fontId="0" fillId="14" borderId="15" xfId="0" applyNumberFormat="1" applyFill="1" applyBorder="1" applyAlignment="1">
      <alignment horizontal="center" vertical="center"/>
    </xf>
    <xf numFmtId="164" fontId="0" fillId="14" borderId="13" xfId="0" applyNumberForma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164" fontId="0" fillId="14" borderId="10" xfId="0" applyNumberFormat="1" applyFill="1" applyBorder="1" applyAlignment="1">
      <alignment horizontal="center" vertical="center"/>
    </xf>
    <xf numFmtId="164" fontId="0" fillId="14" borderId="11" xfId="0" applyNumberFormat="1" applyFill="1" applyBorder="1" applyAlignment="1">
      <alignment horizontal="center" vertical="center"/>
    </xf>
    <xf numFmtId="164" fontId="0" fillId="14" borderId="16" xfId="0" applyNumberFormat="1" applyFill="1" applyBorder="1" applyAlignment="1">
      <alignment horizontal="center" vertical="center"/>
    </xf>
    <xf numFmtId="164" fontId="0" fillId="14" borderId="8" xfId="0" applyNumberFormat="1" applyFill="1" applyBorder="1" applyAlignment="1">
      <alignment horizontal="center" vertical="center"/>
    </xf>
    <xf numFmtId="10" fontId="0" fillId="0" borderId="0" xfId="0" applyNumberFormat="1"/>
    <xf numFmtId="2" fontId="0" fillId="11" borderId="0" xfId="0" applyNumberFormat="1" applyFill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164" fontId="0" fillId="1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34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15" borderId="29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0" fontId="0" fillId="17" borderId="29" xfId="0" applyFill="1" applyBorder="1" applyAlignment="1">
      <alignment horizontal="center" vertical="center"/>
    </xf>
    <xf numFmtId="0" fontId="0" fillId="18" borderId="2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15" borderId="31" xfId="0" applyNumberForma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2" fontId="0" fillId="15" borderId="30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2" fontId="0" fillId="15" borderId="32" xfId="0" applyNumberFormat="1" applyFill="1" applyBorder="1" applyAlignment="1">
      <alignment horizontal="center" vertical="center"/>
    </xf>
    <xf numFmtId="2" fontId="0" fillId="17" borderId="2" xfId="0" applyNumberFormat="1" applyFill="1" applyBorder="1" applyAlignment="1">
      <alignment horizontal="center" vertical="center"/>
    </xf>
    <xf numFmtId="2" fontId="0" fillId="16" borderId="31" xfId="0" applyNumberFormat="1" applyFill="1" applyBorder="1" applyAlignment="1">
      <alignment horizontal="center" vertical="center"/>
    </xf>
    <xf numFmtId="2" fontId="0" fillId="17" borderId="5" xfId="0" applyNumberFormat="1" applyFill="1" applyBorder="1" applyAlignment="1">
      <alignment horizontal="center" vertical="center"/>
    </xf>
    <xf numFmtId="2" fontId="0" fillId="16" borderId="30" xfId="0" applyNumberFormat="1" applyFill="1" applyBorder="1" applyAlignment="1">
      <alignment horizontal="center" vertical="center"/>
    </xf>
    <xf numFmtId="2" fontId="0" fillId="17" borderId="7" xfId="0" applyNumberFormat="1" applyFill="1" applyBorder="1" applyAlignment="1">
      <alignment horizontal="center" vertical="center"/>
    </xf>
    <xf numFmtId="2" fontId="0" fillId="16" borderId="32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18" borderId="31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18" borderId="30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18" borderId="32" xfId="0" applyNumberFormat="1" applyFill="1" applyBorder="1" applyAlignment="1">
      <alignment horizontal="center" vertical="center"/>
    </xf>
    <xf numFmtId="165" fontId="0" fillId="3" borderId="4" xfId="1" applyNumberFormat="1" applyFont="1" applyFill="1" applyBorder="1" applyAlignment="1">
      <alignment horizontal="center" vertical="center"/>
    </xf>
    <xf numFmtId="165" fontId="0" fillId="3" borderId="6" xfId="1" applyNumberFormat="1" applyFont="1" applyFill="1" applyBorder="1" applyAlignment="1">
      <alignment horizontal="center" vertical="center"/>
    </xf>
    <xf numFmtId="165" fontId="0" fillId="3" borderId="9" xfId="1" applyNumberFormat="1" applyFont="1" applyFill="1" applyBorder="1" applyAlignment="1">
      <alignment horizontal="center" vertical="center"/>
    </xf>
    <xf numFmtId="165" fontId="0" fillId="17" borderId="4" xfId="1" applyNumberFormat="1" applyFont="1" applyFill="1" applyBorder="1" applyAlignment="1">
      <alignment horizontal="center" vertical="center"/>
    </xf>
    <xf numFmtId="165" fontId="0" fillId="17" borderId="6" xfId="1" applyNumberFormat="1" applyFont="1" applyFill="1" applyBorder="1" applyAlignment="1">
      <alignment horizontal="center" vertical="center"/>
    </xf>
    <xf numFmtId="165" fontId="0" fillId="17" borderId="9" xfId="1" applyNumberFormat="1" applyFont="1" applyFill="1" applyBorder="1" applyAlignment="1">
      <alignment horizontal="center" vertical="center"/>
    </xf>
    <xf numFmtId="165" fontId="0" fillId="2" borderId="4" xfId="1" applyNumberFormat="1" applyFont="1" applyFill="1" applyBorder="1" applyAlignment="1">
      <alignment horizontal="center" vertical="center"/>
    </xf>
    <xf numFmtId="165" fontId="0" fillId="2" borderId="6" xfId="1" applyNumberFormat="1" applyFont="1" applyFill="1" applyBorder="1" applyAlignment="1">
      <alignment horizontal="center" vertical="center"/>
    </xf>
    <xf numFmtId="165" fontId="0" fillId="2" borderId="9" xfId="1" applyNumberFormat="1" applyFont="1" applyFill="1" applyBorder="1" applyAlignment="1">
      <alignment horizontal="center" vertical="center"/>
    </xf>
    <xf numFmtId="165" fontId="0" fillId="4" borderId="4" xfId="1" applyNumberFormat="1" applyFont="1" applyFill="1" applyBorder="1" applyAlignment="1">
      <alignment horizontal="center" vertical="center"/>
    </xf>
    <xf numFmtId="165" fontId="0" fillId="4" borderId="6" xfId="1" applyNumberFormat="1" applyFont="1" applyFill="1" applyBorder="1" applyAlignment="1">
      <alignment horizontal="center" vertical="center"/>
    </xf>
    <xf numFmtId="165" fontId="0" fillId="4" borderId="9" xfId="1" applyNumberFormat="1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19" borderId="31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19" borderId="30" xfId="0" applyNumberForma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164" fontId="0" fillId="19" borderId="32" xfId="0" applyNumberForma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20" borderId="6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/>
    </xf>
    <xf numFmtId="0" fontId="5" fillId="20" borderId="9" xfId="0" applyFont="1" applyFill="1" applyBorder="1" applyAlignment="1">
      <alignment horizontal="center" vertical="center"/>
    </xf>
    <xf numFmtId="166" fontId="0" fillId="19" borderId="2" xfId="0" applyNumberFormat="1" applyFill="1" applyBorder="1" applyAlignment="1">
      <alignment horizontal="center" vertical="center"/>
    </xf>
    <xf numFmtId="166" fontId="0" fillId="19" borderId="4" xfId="0" applyNumberFormat="1" applyFill="1" applyBorder="1" applyAlignment="1">
      <alignment horizontal="center" vertical="center"/>
    </xf>
    <xf numFmtId="166" fontId="0" fillId="19" borderId="5" xfId="0" applyNumberFormat="1" applyFill="1" applyBorder="1" applyAlignment="1">
      <alignment horizontal="center" vertical="center"/>
    </xf>
    <xf numFmtId="166" fontId="0" fillId="19" borderId="6" xfId="0" applyNumberFormat="1" applyFill="1" applyBorder="1" applyAlignment="1">
      <alignment horizontal="center" vertical="center"/>
    </xf>
    <xf numFmtId="166" fontId="0" fillId="19" borderId="7" xfId="0" applyNumberFormat="1" applyFill="1" applyBorder="1" applyAlignment="1">
      <alignment horizontal="center" vertical="center"/>
    </xf>
    <xf numFmtId="166" fontId="0" fillId="19" borderId="9" xfId="0" applyNumberFormat="1" applyFill="1" applyBorder="1" applyAlignment="1">
      <alignment horizontal="center" vertical="center"/>
    </xf>
    <xf numFmtId="166" fontId="0" fillId="18" borderId="2" xfId="0" applyNumberFormat="1" applyFill="1" applyBorder="1" applyAlignment="1">
      <alignment horizontal="center" vertical="center"/>
    </xf>
    <xf numFmtId="166" fontId="0" fillId="18" borderId="4" xfId="0" applyNumberFormat="1" applyFill="1" applyBorder="1" applyAlignment="1">
      <alignment horizontal="center" vertical="center"/>
    </xf>
    <xf numFmtId="166" fontId="0" fillId="18" borderId="5" xfId="0" applyNumberFormat="1" applyFill="1" applyBorder="1" applyAlignment="1">
      <alignment horizontal="center" vertical="center"/>
    </xf>
    <xf numFmtId="166" fontId="0" fillId="18" borderId="6" xfId="0" applyNumberFormat="1" applyFill="1" applyBorder="1" applyAlignment="1">
      <alignment horizontal="center" vertical="center"/>
    </xf>
    <xf numFmtId="166" fontId="0" fillId="18" borderId="7" xfId="0" applyNumberFormat="1" applyFill="1" applyBorder="1" applyAlignment="1">
      <alignment horizontal="center" vertical="center"/>
    </xf>
    <xf numFmtId="166" fontId="0" fillId="18" borderId="9" xfId="0" applyNumberFormat="1" applyFill="1" applyBorder="1" applyAlignment="1">
      <alignment horizontal="center" vertical="center"/>
    </xf>
    <xf numFmtId="166" fontId="0" fillId="16" borderId="2" xfId="0" applyNumberFormat="1" applyFill="1" applyBorder="1" applyAlignment="1">
      <alignment horizontal="center" vertical="center"/>
    </xf>
    <xf numFmtId="166" fontId="0" fillId="16" borderId="4" xfId="0" applyNumberFormat="1" applyFill="1" applyBorder="1" applyAlignment="1">
      <alignment horizontal="center" vertical="center"/>
    </xf>
    <xf numFmtId="166" fontId="0" fillId="16" borderId="5" xfId="0" applyNumberFormat="1" applyFill="1" applyBorder="1" applyAlignment="1">
      <alignment horizontal="center" vertical="center"/>
    </xf>
    <xf numFmtId="166" fontId="0" fillId="16" borderId="6" xfId="0" applyNumberFormat="1" applyFill="1" applyBorder="1" applyAlignment="1">
      <alignment horizontal="center" vertical="center"/>
    </xf>
    <xf numFmtId="166" fontId="0" fillId="16" borderId="7" xfId="0" applyNumberFormat="1" applyFill="1" applyBorder="1" applyAlignment="1">
      <alignment horizontal="center" vertical="center"/>
    </xf>
    <xf numFmtId="166" fontId="0" fillId="16" borderId="9" xfId="0" applyNumberFormat="1" applyFill="1" applyBorder="1" applyAlignment="1">
      <alignment horizontal="center" vertical="center"/>
    </xf>
    <xf numFmtId="166" fontId="0" fillId="15" borderId="2" xfId="0" applyNumberFormat="1" applyFill="1" applyBorder="1" applyAlignment="1">
      <alignment horizontal="center" vertical="center"/>
    </xf>
    <xf numFmtId="166" fontId="0" fillId="15" borderId="4" xfId="0" applyNumberFormat="1" applyFill="1" applyBorder="1" applyAlignment="1">
      <alignment horizontal="center" vertical="center"/>
    </xf>
    <xf numFmtId="166" fontId="0" fillId="15" borderId="5" xfId="0" applyNumberFormat="1" applyFill="1" applyBorder="1" applyAlignment="1">
      <alignment horizontal="center" vertical="center"/>
    </xf>
    <xf numFmtId="166" fontId="0" fillId="15" borderId="6" xfId="0" applyNumberFormat="1" applyFill="1" applyBorder="1" applyAlignment="1">
      <alignment horizontal="center" vertical="center"/>
    </xf>
    <xf numFmtId="166" fontId="0" fillId="15" borderId="7" xfId="0" applyNumberFormat="1" applyFill="1" applyBorder="1" applyAlignment="1">
      <alignment horizontal="center" vertical="center"/>
    </xf>
    <xf numFmtId="166" fontId="0" fillId="15" borderId="9" xfId="0" applyNumberFormat="1" applyFill="1" applyBorder="1" applyAlignment="1">
      <alignment horizontal="center" vertical="center"/>
    </xf>
    <xf numFmtId="0" fontId="5" fillId="20" borderId="37" xfId="0" applyFont="1" applyFill="1" applyBorder="1" applyAlignment="1">
      <alignment horizontal="center" vertical="center"/>
    </xf>
    <xf numFmtId="0" fontId="5" fillId="20" borderId="42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6" fontId="0" fillId="5" borderId="49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66" fontId="0" fillId="7" borderId="0" xfId="0" applyNumberFormat="1" applyFill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8" borderId="47" xfId="0" applyFill="1" applyBorder="1" applyAlignment="1">
      <alignment horizontal="center" vertical="center"/>
    </xf>
    <xf numFmtId="164" fontId="0" fillId="8" borderId="47" xfId="0" applyNumberFormat="1" applyFill="1" applyBorder="1" applyAlignment="1">
      <alignment horizontal="center" vertical="center"/>
    </xf>
    <xf numFmtId="165" fontId="0" fillId="8" borderId="47" xfId="0" applyNumberFormat="1" applyFill="1" applyBorder="1" applyAlignment="1">
      <alignment horizontal="center" vertical="center"/>
    </xf>
    <xf numFmtId="166" fontId="0" fillId="8" borderId="47" xfId="0" applyNumberFormat="1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  <xf numFmtId="166" fontId="0" fillId="5" borderId="44" xfId="0" applyNumberFormat="1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8" borderId="45" xfId="0" applyFill="1" applyBorder="1" applyAlignment="1">
      <alignment horizontal="center" vertical="center"/>
    </xf>
    <xf numFmtId="166" fontId="0" fillId="6" borderId="44" xfId="0" applyNumberFormat="1" applyFill="1" applyBorder="1" applyAlignment="1">
      <alignment horizontal="center" vertical="center"/>
    </xf>
    <xf numFmtId="166" fontId="0" fillId="7" borderId="44" xfId="0" applyNumberFormat="1" applyFill="1" applyBorder="1" applyAlignment="1">
      <alignment horizontal="center" vertical="center"/>
    </xf>
    <xf numFmtId="166" fontId="0" fillId="8" borderId="45" xfId="0" applyNumberFormat="1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166" fontId="0" fillId="6" borderId="49" xfId="0" applyNumberFormat="1" applyFill="1" applyBorder="1" applyAlignment="1">
      <alignment horizontal="center" vertical="center"/>
    </xf>
    <xf numFmtId="166" fontId="0" fillId="7" borderId="49" xfId="0" applyNumberFormat="1" applyFill="1" applyBorder="1" applyAlignment="1">
      <alignment horizontal="center" vertical="center"/>
    </xf>
    <xf numFmtId="166" fontId="0" fillId="8" borderId="50" xfId="0" applyNumberForma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0" fillId="8" borderId="53" xfId="0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15" borderId="18" xfId="0" applyFont="1" applyFill="1" applyBorder="1" applyAlignment="1">
      <alignment horizontal="center" vertical="center"/>
    </xf>
    <xf numFmtId="0" fontId="6" fillId="15" borderId="19" xfId="0" applyFont="1" applyFill="1" applyBorder="1" applyAlignment="1">
      <alignment horizontal="center" vertical="center"/>
    </xf>
    <xf numFmtId="0" fontId="6" fillId="16" borderId="18" xfId="0" applyFont="1" applyFill="1" applyBorder="1" applyAlignment="1">
      <alignment horizontal="center" vertical="center"/>
    </xf>
    <xf numFmtId="0" fontId="6" fillId="16" borderId="19" xfId="0" applyFont="1" applyFill="1" applyBorder="1" applyAlignment="1">
      <alignment horizontal="center" vertical="center"/>
    </xf>
    <xf numFmtId="0" fontId="6" fillId="18" borderId="18" xfId="0" applyFont="1" applyFill="1" applyBorder="1" applyAlignment="1">
      <alignment horizontal="center" vertical="center"/>
    </xf>
    <xf numFmtId="0" fontId="6" fillId="18" borderId="19" xfId="0" applyFont="1" applyFill="1" applyBorder="1" applyAlignment="1">
      <alignment horizontal="center" vertical="center"/>
    </xf>
    <xf numFmtId="0" fontId="6" fillId="19" borderId="18" xfId="0" applyFont="1" applyFill="1" applyBorder="1" applyAlignment="1">
      <alignment horizontal="center" vertical="center"/>
    </xf>
    <xf numFmtId="0" fontId="6" fillId="19" borderId="19" xfId="0" applyFont="1" applyFill="1" applyBorder="1" applyAlignment="1">
      <alignment horizontal="center" vertical="center"/>
    </xf>
    <xf numFmtId="166" fontId="6" fillId="15" borderId="19" xfId="0" applyNumberFormat="1" applyFont="1" applyFill="1" applyBorder="1" applyAlignment="1">
      <alignment horizontal="center" vertical="center"/>
    </xf>
    <xf numFmtId="166" fontId="7" fillId="15" borderId="20" xfId="0" applyNumberFormat="1" applyFont="1" applyFill="1" applyBorder="1" applyAlignment="1">
      <alignment horizontal="center" vertical="center"/>
    </xf>
    <xf numFmtId="166" fontId="7" fillId="16" borderId="20" xfId="0" applyNumberFormat="1" applyFont="1" applyFill="1" applyBorder="1" applyAlignment="1">
      <alignment horizontal="center" vertical="center"/>
    </xf>
    <xf numFmtId="166" fontId="6" fillId="16" borderId="19" xfId="0" applyNumberFormat="1" applyFont="1" applyFill="1" applyBorder="1" applyAlignment="1">
      <alignment horizontal="center" vertical="center"/>
    </xf>
    <xf numFmtId="166" fontId="6" fillId="18" borderId="19" xfId="0" applyNumberFormat="1" applyFont="1" applyFill="1" applyBorder="1" applyAlignment="1">
      <alignment horizontal="center" vertical="center"/>
    </xf>
    <xf numFmtId="166" fontId="7" fillId="18" borderId="20" xfId="0" applyNumberFormat="1" applyFont="1" applyFill="1" applyBorder="1" applyAlignment="1">
      <alignment horizontal="center" vertical="center"/>
    </xf>
    <xf numFmtId="166" fontId="7" fillId="19" borderId="20" xfId="0" applyNumberFormat="1" applyFont="1" applyFill="1" applyBorder="1" applyAlignment="1">
      <alignment horizontal="center" vertical="center"/>
    </xf>
    <xf numFmtId="166" fontId="6" fillId="19" borderId="19" xfId="0" applyNumberFormat="1" applyFont="1" applyFill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166" fontId="0" fillId="7" borderId="3" xfId="0" applyNumberFormat="1" applyFill="1" applyBorder="1" applyAlignment="1">
      <alignment horizontal="center" vertical="center"/>
    </xf>
    <xf numFmtId="166" fontId="0" fillId="8" borderId="4" xfId="0" applyNumberFormat="1" applyFill="1" applyBorder="1" applyAlignment="1">
      <alignment horizontal="center" vertical="center"/>
    </xf>
    <xf numFmtId="166" fontId="0" fillId="5" borderId="8" xfId="0" applyNumberFormat="1" applyFill="1" applyBorder="1" applyAlignment="1">
      <alignment horizontal="center" vertical="center"/>
    </xf>
    <xf numFmtId="166" fontId="0" fillId="6" borderId="8" xfId="0" applyNumberFormat="1" applyFill="1" applyBorder="1" applyAlignment="1">
      <alignment horizontal="center" vertical="center"/>
    </xf>
    <xf numFmtId="166" fontId="0" fillId="7" borderId="8" xfId="0" applyNumberFormat="1" applyFill="1" applyBorder="1" applyAlignment="1">
      <alignment horizontal="center" vertical="center"/>
    </xf>
    <xf numFmtId="166" fontId="0" fillId="8" borderId="9" xfId="0" applyNumberForma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5" xfId="0" applyBorder="1"/>
    <xf numFmtId="0" fontId="5" fillId="20" borderId="54" xfId="0" applyFont="1" applyFill="1" applyBorder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0" borderId="55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 vertical="center"/>
    </xf>
    <xf numFmtId="166" fontId="9" fillId="15" borderId="5" xfId="0" applyNumberFormat="1" applyFont="1" applyFill="1" applyBorder="1" applyAlignment="1">
      <alignment horizontal="center" vertical="center"/>
    </xf>
    <xf numFmtId="166" fontId="9" fillId="15" borderId="6" xfId="0" applyNumberFormat="1" applyFont="1" applyFill="1" applyBorder="1" applyAlignment="1">
      <alignment horizontal="center" vertical="center"/>
    </xf>
    <xf numFmtId="0" fontId="9" fillId="15" borderId="5" xfId="0" applyFont="1" applyFill="1" applyBorder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166" fontId="0" fillId="15" borderId="8" xfId="0" applyNumberFormat="1" applyFill="1" applyBorder="1" applyAlignment="1">
      <alignment horizontal="center" vertical="center"/>
    </xf>
    <xf numFmtId="166" fontId="9" fillId="15" borderId="0" xfId="0" applyNumberFormat="1" applyFont="1" applyFill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 vertical="center"/>
    </xf>
    <xf numFmtId="166" fontId="9" fillId="16" borderId="5" xfId="0" applyNumberFormat="1" applyFont="1" applyFill="1" applyBorder="1" applyAlignment="1">
      <alignment horizontal="center" vertical="center"/>
    </xf>
    <xf numFmtId="166" fontId="9" fillId="16" borderId="6" xfId="0" applyNumberFormat="1" applyFont="1" applyFill="1" applyBorder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166" fontId="0" fillId="16" borderId="8" xfId="0" applyNumberFormat="1" applyFill="1" applyBorder="1" applyAlignment="1">
      <alignment horizontal="center" vertical="center"/>
    </xf>
    <xf numFmtId="166" fontId="9" fillId="16" borderId="0" xfId="0" applyNumberFormat="1" applyFont="1" applyFill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166" fontId="9" fillId="13" borderId="5" xfId="0" applyNumberFormat="1" applyFont="1" applyFill="1" applyBorder="1" applyAlignment="1">
      <alignment horizontal="center" vertical="center"/>
    </xf>
    <xf numFmtId="166" fontId="9" fillId="13" borderId="6" xfId="0" applyNumberFormat="1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166" fontId="0" fillId="13" borderId="7" xfId="0" applyNumberFormat="1" applyFill="1" applyBorder="1" applyAlignment="1">
      <alignment horizontal="center" vertical="center"/>
    </xf>
    <xf numFmtId="166" fontId="0" fillId="13" borderId="8" xfId="0" applyNumberFormat="1" applyFill="1" applyBorder="1" applyAlignment="1">
      <alignment horizontal="center" vertical="center"/>
    </xf>
    <xf numFmtId="166" fontId="9" fillId="13" borderId="0" xfId="0" applyNumberFormat="1" applyFont="1" applyFill="1" applyAlignment="1">
      <alignment horizontal="center" vertical="center"/>
    </xf>
    <xf numFmtId="0" fontId="9" fillId="19" borderId="2" xfId="0" applyFont="1" applyFill="1" applyBorder="1" applyAlignment="1">
      <alignment horizontal="center" vertical="center"/>
    </xf>
    <xf numFmtId="0" fontId="9" fillId="19" borderId="3" xfId="0" applyFont="1" applyFill="1" applyBorder="1" applyAlignment="1">
      <alignment horizontal="center" vertical="center"/>
    </xf>
    <xf numFmtId="166" fontId="9" fillId="19" borderId="5" xfId="0" applyNumberFormat="1" applyFont="1" applyFill="1" applyBorder="1" applyAlignment="1">
      <alignment horizontal="center" vertical="center"/>
    </xf>
    <xf numFmtId="166" fontId="9" fillId="19" borderId="6" xfId="0" applyNumberFormat="1" applyFont="1" applyFill="1" applyBorder="1" applyAlignment="1">
      <alignment horizontal="center" vertical="center"/>
    </xf>
    <xf numFmtId="0" fontId="9" fillId="19" borderId="5" xfId="0" applyFont="1" applyFill="1" applyBorder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166" fontId="0" fillId="19" borderId="8" xfId="0" applyNumberFormat="1" applyFill="1" applyBorder="1" applyAlignment="1">
      <alignment horizontal="center" vertical="center"/>
    </xf>
    <xf numFmtId="166" fontId="9" fillId="19" borderId="0" xfId="0" applyNumberFormat="1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6" fontId="0" fillId="3" borderId="8" xfId="0" applyNumberFormat="1" applyFill="1" applyBorder="1" applyAlignment="1">
      <alignment horizontal="center" vertical="center"/>
    </xf>
    <xf numFmtId="0" fontId="9" fillId="17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66" fontId="0" fillId="17" borderId="8" xfId="0" applyNumberForma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166" fontId="0" fillId="4" borderId="8" xfId="0" applyNumberForma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right" vertical="center"/>
    </xf>
    <xf numFmtId="166" fontId="9" fillId="15" borderId="5" xfId="0" applyNumberFormat="1" applyFont="1" applyFill="1" applyBorder="1" applyAlignment="1">
      <alignment horizontal="right" vertical="center"/>
    </xf>
    <xf numFmtId="0" fontId="9" fillId="15" borderId="5" xfId="0" applyFont="1" applyFill="1" applyBorder="1" applyAlignment="1">
      <alignment horizontal="right" vertical="center"/>
    </xf>
    <xf numFmtId="166" fontId="0" fillId="15" borderId="7" xfId="0" applyNumberFormat="1" applyFill="1" applyBorder="1" applyAlignment="1">
      <alignment horizontal="right" vertical="center"/>
    </xf>
    <xf numFmtId="166" fontId="9" fillId="16" borderId="5" xfId="0" applyNumberFormat="1" applyFont="1" applyFill="1" applyBorder="1" applyAlignment="1">
      <alignment horizontal="right" vertical="center"/>
    </xf>
    <xf numFmtId="0" fontId="9" fillId="16" borderId="5" xfId="0" applyFont="1" applyFill="1" applyBorder="1" applyAlignment="1">
      <alignment horizontal="right" vertical="center"/>
    </xf>
    <xf numFmtId="166" fontId="0" fillId="16" borderId="7" xfId="0" applyNumberFormat="1" applyFill="1" applyBorder="1" applyAlignment="1">
      <alignment horizontal="right" vertical="center"/>
    </xf>
    <xf numFmtId="0" fontId="9" fillId="16" borderId="2" xfId="0" applyFont="1" applyFill="1" applyBorder="1" applyAlignment="1">
      <alignment horizontal="right" vertical="center"/>
    </xf>
    <xf numFmtId="0" fontId="9" fillId="13" borderId="2" xfId="0" applyFont="1" applyFill="1" applyBorder="1" applyAlignment="1">
      <alignment horizontal="right" vertical="center"/>
    </xf>
    <xf numFmtId="166" fontId="9" fillId="13" borderId="5" xfId="0" applyNumberFormat="1" applyFont="1" applyFill="1" applyBorder="1" applyAlignment="1">
      <alignment horizontal="right" vertical="center"/>
    </xf>
    <xf numFmtId="0" fontId="9" fillId="13" borderId="5" xfId="0" applyFont="1" applyFill="1" applyBorder="1" applyAlignment="1">
      <alignment horizontal="right" vertical="center"/>
    </xf>
    <xf numFmtId="166" fontId="0" fillId="13" borderId="7" xfId="0" applyNumberFormat="1" applyFill="1" applyBorder="1" applyAlignment="1">
      <alignment horizontal="right" vertical="center"/>
    </xf>
    <xf numFmtId="0" fontId="9" fillId="19" borderId="2" xfId="0" applyFont="1" applyFill="1" applyBorder="1" applyAlignment="1">
      <alignment horizontal="right" vertical="center"/>
    </xf>
    <xf numFmtId="166" fontId="9" fillId="19" borderId="5" xfId="0" applyNumberFormat="1" applyFont="1" applyFill="1" applyBorder="1" applyAlignment="1">
      <alignment horizontal="right" vertical="center"/>
    </xf>
    <xf numFmtId="0" fontId="9" fillId="19" borderId="5" xfId="0" applyFont="1" applyFill="1" applyBorder="1" applyAlignment="1">
      <alignment horizontal="right" vertical="center"/>
    </xf>
    <xf numFmtId="166" fontId="0" fillId="19" borderId="7" xfId="0" applyNumberFormat="1" applyFill="1" applyBorder="1" applyAlignment="1">
      <alignment horizontal="right" vertical="center"/>
    </xf>
    <xf numFmtId="0" fontId="9" fillId="17" borderId="2" xfId="0" applyFont="1" applyFill="1" applyBorder="1" applyAlignment="1">
      <alignment horizontal="right" vertical="center"/>
    </xf>
    <xf numFmtId="166" fontId="9" fillId="17" borderId="5" xfId="0" applyNumberFormat="1" applyFont="1" applyFill="1" applyBorder="1" applyAlignment="1">
      <alignment horizontal="right" vertical="center"/>
    </xf>
    <xf numFmtId="0" fontId="9" fillId="17" borderId="5" xfId="0" applyFont="1" applyFill="1" applyBorder="1" applyAlignment="1">
      <alignment horizontal="right" vertical="center"/>
    </xf>
    <xf numFmtId="166" fontId="0" fillId="17" borderId="7" xfId="0" applyNumberForma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166" fontId="9" fillId="2" borderId="5" xfId="0" applyNumberFormat="1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166" fontId="0" fillId="2" borderId="7" xfId="0" applyNumberForma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right" vertical="center"/>
    </xf>
    <xf numFmtId="166" fontId="9" fillId="4" borderId="5" xfId="0" applyNumberFormat="1" applyFont="1" applyFill="1" applyBorder="1" applyAlignment="1">
      <alignment horizontal="right" vertical="center"/>
    </xf>
    <xf numFmtId="0" fontId="9" fillId="4" borderId="5" xfId="0" applyFont="1" applyFill="1" applyBorder="1" applyAlignment="1">
      <alignment horizontal="right" vertical="center"/>
    </xf>
    <xf numFmtId="166" fontId="0" fillId="4" borderId="7" xfId="0" applyNumberForma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right" vertical="center"/>
    </xf>
    <xf numFmtId="166" fontId="9" fillId="3" borderId="5" xfId="0" applyNumberFormat="1" applyFont="1" applyFill="1" applyBorder="1" applyAlignment="1">
      <alignment horizontal="right" vertical="center"/>
    </xf>
    <xf numFmtId="0" fontId="9" fillId="3" borderId="5" xfId="0" applyFont="1" applyFill="1" applyBorder="1" applyAlignment="1">
      <alignment horizontal="right" vertical="center"/>
    </xf>
    <xf numFmtId="166" fontId="0" fillId="3" borderId="7" xfId="0" applyNumberFormat="1" applyFill="1" applyBorder="1" applyAlignment="1">
      <alignment horizontal="right" vertical="center"/>
    </xf>
    <xf numFmtId="1" fontId="9" fillId="15" borderId="6" xfId="0" applyNumberFormat="1" applyFont="1" applyFill="1" applyBorder="1" applyAlignment="1">
      <alignment horizontal="center" vertical="center"/>
    </xf>
    <xf numFmtId="10" fontId="0" fillId="3" borderId="4" xfId="1" applyNumberFormat="1" applyFont="1" applyFill="1" applyBorder="1" applyAlignment="1">
      <alignment horizontal="center" vertical="center"/>
    </xf>
    <xf numFmtId="10" fontId="0" fillId="3" borderId="6" xfId="1" applyNumberFormat="1" applyFont="1" applyFill="1" applyBorder="1" applyAlignment="1">
      <alignment horizontal="center" vertical="center"/>
    </xf>
    <xf numFmtId="10" fontId="0" fillId="3" borderId="9" xfId="1" applyNumberFormat="1" applyFont="1" applyFill="1" applyBorder="1" applyAlignment="1">
      <alignment horizontal="center" vertical="center"/>
    </xf>
    <xf numFmtId="10" fontId="0" fillId="17" borderId="4" xfId="1" applyNumberFormat="1" applyFont="1" applyFill="1" applyBorder="1" applyAlignment="1">
      <alignment horizontal="center" vertical="center"/>
    </xf>
    <xf numFmtId="10" fontId="0" fillId="17" borderId="6" xfId="1" applyNumberFormat="1" applyFont="1" applyFill="1" applyBorder="1" applyAlignment="1">
      <alignment horizontal="center" vertical="center"/>
    </xf>
    <xf numFmtId="10" fontId="0" fillId="17" borderId="9" xfId="1" applyNumberFormat="1" applyFont="1" applyFill="1" applyBorder="1" applyAlignment="1">
      <alignment horizontal="center" vertical="center"/>
    </xf>
    <xf numFmtId="10" fontId="0" fillId="2" borderId="4" xfId="1" applyNumberFormat="1" applyFont="1" applyFill="1" applyBorder="1" applyAlignment="1">
      <alignment horizontal="center" vertical="center"/>
    </xf>
    <xf numFmtId="10" fontId="0" fillId="2" borderId="6" xfId="1" applyNumberFormat="1" applyFont="1" applyFill="1" applyBorder="1" applyAlignment="1">
      <alignment horizontal="center" vertical="center"/>
    </xf>
    <xf numFmtId="10" fontId="0" fillId="2" borderId="9" xfId="1" applyNumberFormat="1" applyFont="1" applyFill="1" applyBorder="1" applyAlignment="1">
      <alignment horizontal="center" vertical="center"/>
    </xf>
    <xf numFmtId="10" fontId="0" fillId="4" borderId="4" xfId="1" applyNumberFormat="1" applyFont="1" applyFill="1" applyBorder="1" applyAlignment="1">
      <alignment horizontal="center" vertical="center"/>
    </xf>
    <xf numFmtId="10" fontId="0" fillId="4" borderId="6" xfId="1" applyNumberFormat="1" applyFont="1" applyFill="1" applyBorder="1" applyAlignment="1">
      <alignment horizontal="center" vertical="center"/>
    </xf>
    <xf numFmtId="10" fontId="0" fillId="4" borderId="9" xfId="1" applyNumberFormat="1" applyFont="1" applyFill="1" applyBorder="1" applyAlignment="1">
      <alignment horizontal="center" vertical="center"/>
    </xf>
    <xf numFmtId="1" fontId="9" fillId="16" borderId="6" xfId="0" applyNumberFormat="1" applyFont="1" applyFill="1" applyBorder="1" applyAlignment="1">
      <alignment horizontal="center" vertical="center"/>
    </xf>
    <xf numFmtId="1" fontId="9" fillId="19" borderId="6" xfId="0" applyNumberFormat="1" applyFont="1" applyFill="1" applyBorder="1" applyAlignment="1">
      <alignment horizontal="center" vertical="center"/>
    </xf>
    <xf numFmtId="1" fontId="9" fillId="13" borderId="6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9" fillId="13" borderId="0" xfId="0" applyNumberFormat="1" applyFont="1" applyFill="1" applyAlignment="1">
      <alignment horizontal="center" vertical="center"/>
    </xf>
    <xf numFmtId="1" fontId="9" fillId="19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10" fontId="0" fillId="0" borderId="11" xfId="0" applyNumberFormat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1" fontId="9" fillId="3" borderId="6" xfId="0" applyNumberFormat="1" applyFont="1" applyFill="1" applyBorder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1" fontId="9" fillId="17" borderId="0" xfId="0" applyNumberFormat="1" applyFont="1" applyFill="1" applyAlignment="1">
      <alignment horizontal="center" vertical="center"/>
    </xf>
    <xf numFmtId="1" fontId="9" fillId="17" borderId="6" xfId="0" applyNumberFormat="1" applyFont="1" applyFill="1" applyBorder="1" applyAlignment="1">
      <alignment horizontal="center" vertical="center"/>
    </xf>
    <xf numFmtId="1" fontId="9" fillId="17" borderId="5" xfId="0" applyNumberFormat="1" applyFont="1" applyFill="1" applyBorder="1" applyAlignment="1">
      <alignment horizontal="right" vertical="center"/>
    </xf>
    <xf numFmtId="1" fontId="9" fillId="2" borderId="6" xfId="0" applyNumberFormat="1" applyFont="1" applyFill="1" applyBorder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1" fontId="9" fillId="4" borderId="0" xfId="0" applyNumberFormat="1" applyFont="1" applyFill="1" applyAlignment="1">
      <alignment horizontal="center" vertical="center"/>
    </xf>
    <xf numFmtId="1" fontId="9" fillId="4" borderId="6" xfId="0" applyNumberFormat="1" applyFont="1" applyFill="1" applyBorder="1" applyAlignment="1">
      <alignment horizontal="center" vertical="center"/>
    </xf>
    <xf numFmtId="166" fontId="0" fillId="8" borderId="6" xfId="0" applyNumberFormat="1" applyFill="1" applyBorder="1" applyAlignment="1">
      <alignment horizontal="center" vertical="center"/>
    </xf>
    <xf numFmtId="167" fontId="0" fillId="5" borderId="0" xfId="0" applyNumberFormat="1" applyFill="1" applyAlignment="1">
      <alignment horizontal="center" vertical="center"/>
    </xf>
    <xf numFmtId="167" fontId="0" fillId="6" borderId="0" xfId="0" applyNumberFormat="1" applyFill="1" applyAlignment="1">
      <alignment horizontal="center" vertical="center"/>
    </xf>
    <xf numFmtId="167" fontId="0" fillId="7" borderId="0" xfId="0" applyNumberFormat="1" applyFill="1" applyAlignment="1">
      <alignment horizontal="center" vertical="center"/>
    </xf>
    <xf numFmtId="167" fontId="0" fillId="8" borderId="6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1" fontId="0" fillId="8" borderId="4" xfId="0" applyNumberForma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" fontId="0" fillId="8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23" xfId="0" applyNumberForma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21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58" xfId="0" applyNumberFormat="1" applyBorder="1" applyAlignment="1">
      <alignment horizontal="center" vertical="center"/>
    </xf>
    <xf numFmtId="10" fontId="0" fillId="0" borderId="59" xfId="0" applyNumberFormat="1" applyBorder="1" applyAlignment="1">
      <alignment horizontal="center" vertical="center"/>
    </xf>
    <xf numFmtId="10" fontId="0" fillId="0" borderId="60" xfId="0" applyNumberFormat="1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61" xfId="0" applyNumberFormat="1" applyBorder="1" applyAlignment="1">
      <alignment horizontal="center" vertical="center"/>
    </xf>
    <xf numFmtId="166" fontId="0" fillId="0" borderId="0" xfId="0" applyNumberFormat="1"/>
    <xf numFmtId="1" fontId="9" fillId="15" borderId="3" xfId="0" applyNumberFormat="1" applyFont="1" applyFill="1" applyBorder="1" applyAlignment="1">
      <alignment horizontal="center" vertical="center"/>
    </xf>
    <xf numFmtId="1" fontId="9" fillId="15" borderId="0" xfId="0" applyNumberFormat="1" applyFont="1" applyFill="1" applyAlignment="1">
      <alignment horizontal="center" vertical="center"/>
    </xf>
    <xf numFmtId="1" fontId="9" fillId="16" borderId="3" xfId="0" applyNumberFormat="1" applyFont="1" applyFill="1" applyBorder="1" applyAlignment="1">
      <alignment horizontal="center" vertical="center"/>
    </xf>
    <xf numFmtId="1" fontId="9" fillId="16" borderId="0" xfId="0" applyNumberFormat="1" applyFont="1" applyFill="1" applyAlignment="1">
      <alignment horizontal="center" vertical="center"/>
    </xf>
    <xf numFmtId="1" fontId="9" fillId="13" borderId="3" xfId="0" applyNumberFormat="1" applyFont="1" applyFill="1" applyBorder="1" applyAlignment="1">
      <alignment horizontal="center" vertical="center"/>
    </xf>
    <xf numFmtId="1" fontId="9" fillId="19" borderId="3" xfId="0" applyNumberFormat="1" applyFont="1" applyFill="1" applyBorder="1" applyAlignment="1">
      <alignment horizontal="center" vertical="center"/>
    </xf>
    <xf numFmtId="0" fontId="0" fillId="21" borderId="0" xfId="0" applyFill="1"/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19" borderId="8" xfId="0" applyNumberFormat="1" applyFill="1" applyBorder="1" applyAlignment="1">
      <alignment horizontal="center" vertical="center"/>
    </xf>
    <xf numFmtId="1" fontId="0" fillId="19" borderId="2" xfId="0" applyNumberFormat="1" applyFill="1" applyBorder="1" applyAlignment="1">
      <alignment horizontal="center" vertical="center"/>
    </xf>
    <xf numFmtId="10" fontId="0" fillId="19" borderId="0" xfId="0" applyNumberFormat="1" applyFill="1" applyAlignment="1">
      <alignment horizontal="center" vertical="center"/>
    </xf>
    <xf numFmtId="10" fontId="0" fillId="19" borderId="8" xfId="0" applyNumberFormat="1" applyFill="1" applyBorder="1" applyAlignment="1">
      <alignment horizontal="center" vertical="center"/>
    </xf>
    <xf numFmtId="10" fontId="0" fillId="19" borderId="59" xfId="0" applyNumberFormat="1" applyFill="1" applyBorder="1" applyAlignment="1">
      <alignment horizontal="center" vertical="center"/>
    </xf>
    <xf numFmtId="10" fontId="0" fillId="19" borderId="11" xfId="0" applyNumberFormat="1" applyFill="1" applyBorder="1" applyAlignment="1">
      <alignment horizontal="center" vertical="center"/>
    </xf>
    <xf numFmtId="10" fontId="0" fillId="19" borderId="3" xfId="0" applyNumberForma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23" borderId="7" xfId="0" applyFill="1" applyBorder="1" applyAlignment="1">
      <alignment horizontal="center" vertical="center"/>
    </xf>
    <xf numFmtId="0" fontId="0" fillId="23" borderId="8" xfId="0" applyFill="1" applyBorder="1" applyAlignment="1">
      <alignment horizontal="center" vertical="center"/>
    </xf>
    <xf numFmtId="0" fontId="0" fillId="21" borderId="8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0" fillId="23" borderId="11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9" borderId="11" xfId="0" applyFill="1" applyBorder="1" applyAlignment="1">
      <alignment horizontal="center"/>
    </xf>
    <xf numFmtId="0" fontId="0" fillId="23" borderId="62" xfId="0" applyFill="1" applyBorder="1" applyAlignment="1">
      <alignment horizontal="center" vertical="center"/>
    </xf>
    <xf numFmtId="0" fontId="0" fillId="21" borderId="62" xfId="0" applyFill="1" applyBorder="1" applyAlignment="1">
      <alignment horizontal="center"/>
    </xf>
    <xf numFmtId="0" fontId="0" fillId="13" borderId="62" xfId="0" applyFill="1" applyBorder="1" applyAlignment="1">
      <alignment horizontal="center"/>
    </xf>
    <xf numFmtId="0" fontId="0" fillId="19" borderId="62" xfId="0" applyFill="1" applyBorder="1" applyAlignment="1">
      <alignment horizontal="center"/>
    </xf>
    <xf numFmtId="0" fontId="0" fillId="23" borderId="23" xfId="0" applyFill="1" applyBorder="1" applyAlignment="1">
      <alignment horizontal="center" vertical="center"/>
    </xf>
    <xf numFmtId="0" fontId="0" fillId="19" borderId="65" xfId="0" applyFill="1" applyBorder="1" applyAlignment="1">
      <alignment horizontal="center"/>
    </xf>
    <xf numFmtId="10" fontId="0" fillId="23" borderId="66" xfId="0" applyNumberFormat="1" applyFill="1" applyBorder="1" applyAlignment="1">
      <alignment horizontal="center" vertical="center"/>
    </xf>
    <xf numFmtId="10" fontId="0" fillId="23" borderId="32" xfId="0" applyNumberFormat="1" applyFill="1" applyBorder="1" applyAlignment="1">
      <alignment horizontal="center" vertical="center"/>
    </xf>
    <xf numFmtId="10" fontId="0" fillId="23" borderId="16" xfId="0" applyNumberFormat="1" applyFill="1" applyBorder="1" applyAlignment="1">
      <alignment horizontal="center" vertical="center"/>
    </xf>
    <xf numFmtId="10" fontId="0" fillId="21" borderId="25" xfId="0" applyNumberFormat="1" applyFill="1" applyBorder="1" applyAlignment="1">
      <alignment horizontal="center"/>
    </xf>
    <xf numFmtId="10" fontId="0" fillId="21" borderId="32" xfId="0" applyNumberFormat="1" applyFill="1" applyBorder="1" applyAlignment="1">
      <alignment horizontal="center"/>
    </xf>
    <xf numFmtId="10" fontId="0" fillId="21" borderId="16" xfId="0" applyNumberFormat="1" applyFill="1" applyBorder="1" applyAlignment="1">
      <alignment horizontal="center"/>
    </xf>
    <xf numFmtId="10" fontId="0" fillId="13" borderId="25" xfId="0" applyNumberFormat="1" applyFill="1" applyBorder="1" applyAlignment="1">
      <alignment horizontal="center"/>
    </xf>
    <xf numFmtId="10" fontId="0" fillId="13" borderId="32" xfId="0" applyNumberFormat="1" applyFill="1" applyBorder="1" applyAlignment="1">
      <alignment horizontal="center"/>
    </xf>
    <xf numFmtId="10" fontId="0" fillId="13" borderId="16" xfId="0" applyNumberFormat="1" applyFill="1" applyBorder="1" applyAlignment="1">
      <alignment horizontal="center"/>
    </xf>
    <xf numFmtId="10" fontId="0" fillId="19" borderId="25" xfId="0" applyNumberFormat="1" applyFill="1" applyBorder="1" applyAlignment="1">
      <alignment horizontal="center"/>
    </xf>
    <xf numFmtId="10" fontId="0" fillId="19" borderId="32" xfId="0" applyNumberFormat="1" applyFill="1" applyBorder="1" applyAlignment="1">
      <alignment horizontal="center"/>
    </xf>
    <xf numFmtId="10" fontId="0" fillId="19" borderId="67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10" fontId="11" fillId="0" borderId="4" xfId="1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0" fontId="11" fillId="0" borderId="6" xfId="1" applyNumberFormat="1" applyFont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0" fontId="11" fillId="19" borderId="2" xfId="0" applyFont="1" applyFill="1" applyBorder="1" applyAlignment="1">
      <alignment horizontal="center" vertical="center"/>
    </xf>
    <xf numFmtId="0" fontId="11" fillId="19" borderId="3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10" fontId="11" fillId="24" borderId="0" xfId="1" applyNumberFormat="1" applyFont="1" applyFill="1" applyBorder="1" applyAlignment="1">
      <alignment horizontal="center" vertical="center"/>
    </xf>
    <xf numFmtId="10" fontId="11" fillId="19" borderId="5" xfId="1" applyNumberFormat="1" applyFont="1" applyFill="1" applyBorder="1" applyAlignment="1">
      <alignment horizontal="center" vertical="center"/>
    </xf>
    <xf numFmtId="10" fontId="11" fillId="19" borderId="0" xfId="1" applyNumberFormat="1" applyFont="1" applyFill="1" applyBorder="1" applyAlignment="1">
      <alignment horizontal="center" vertical="center"/>
    </xf>
    <xf numFmtId="10" fontId="11" fillId="25" borderId="5" xfId="1" applyNumberFormat="1" applyFont="1" applyFill="1" applyBorder="1" applyAlignment="1">
      <alignment horizontal="center" vertical="center"/>
    </xf>
    <xf numFmtId="10" fontId="11" fillId="25" borderId="0" xfId="1" applyNumberFormat="1" applyFont="1" applyFill="1" applyBorder="1" applyAlignment="1">
      <alignment horizontal="center" vertical="center"/>
    </xf>
    <xf numFmtId="10" fontId="11" fillId="21" borderId="5" xfId="1" applyNumberFormat="1" applyFont="1" applyFill="1" applyBorder="1" applyAlignment="1">
      <alignment horizontal="center" vertical="center"/>
    </xf>
    <xf numFmtId="10" fontId="11" fillId="21" borderId="0" xfId="1" applyNumberFormat="1" applyFont="1" applyFill="1" applyBorder="1" applyAlignment="1">
      <alignment horizontal="center" vertical="center"/>
    </xf>
    <xf numFmtId="10" fontId="0" fillId="24" borderId="8" xfId="1" applyNumberFormat="1" applyFont="1" applyFill="1" applyBorder="1" applyAlignment="1">
      <alignment horizontal="center" vertical="center"/>
    </xf>
    <xf numFmtId="10" fontId="0" fillId="24" borderId="7" xfId="1" applyNumberFormat="1" applyFont="1" applyFill="1" applyBorder="1" applyAlignment="1">
      <alignment horizontal="center" vertical="center"/>
    </xf>
    <xf numFmtId="10" fontId="0" fillId="13" borderId="7" xfId="1" applyNumberFormat="1" applyFont="1" applyFill="1" applyBorder="1" applyAlignment="1">
      <alignment horizontal="center" vertical="center"/>
    </xf>
    <xf numFmtId="10" fontId="0" fillId="13" borderId="8" xfId="1" applyNumberFormat="1" applyFont="1" applyFill="1" applyBorder="1" applyAlignment="1">
      <alignment horizontal="center" vertical="center"/>
    </xf>
    <xf numFmtId="10" fontId="0" fillId="21" borderId="7" xfId="1" applyNumberFormat="1" applyFont="1" applyFill="1" applyBorder="1" applyAlignment="1">
      <alignment horizontal="center" vertical="center"/>
    </xf>
    <xf numFmtId="10" fontId="0" fillId="21" borderId="8" xfId="1" applyNumberFormat="1" applyFont="1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56" xfId="0" applyFill="1" applyBorder="1" applyAlignment="1">
      <alignment horizontal="center" vertical="center"/>
    </xf>
    <xf numFmtId="0" fontId="0" fillId="5" borderId="57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5" fillId="20" borderId="36" xfId="0" applyFont="1" applyFill="1" applyBorder="1" applyAlignment="1">
      <alignment horizontal="center" vertical="center"/>
    </xf>
    <xf numFmtId="0" fontId="5" fillId="20" borderId="37" xfId="0" applyFont="1" applyFill="1" applyBorder="1" applyAlignment="1">
      <alignment horizontal="center" vertical="center"/>
    </xf>
    <xf numFmtId="0" fontId="0" fillId="15" borderId="34" xfId="0" applyFill="1" applyBorder="1" applyAlignment="1">
      <alignment horizontal="center" vertical="center"/>
    </xf>
    <xf numFmtId="0" fontId="0" fillId="15" borderId="57" xfId="0" applyFill="1" applyBorder="1" applyAlignment="1">
      <alignment horizontal="center" vertical="center"/>
    </xf>
    <xf numFmtId="0" fontId="0" fillId="16" borderId="34" xfId="0" applyFill="1" applyBorder="1" applyAlignment="1">
      <alignment horizontal="center" vertical="center"/>
    </xf>
    <xf numFmtId="0" fontId="0" fillId="16" borderId="57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0" fontId="0" fillId="13" borderId="57" xfId="0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0" fontId="0" fillId="19" borderId="57" xfId="0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56" xfId="0" applyFill="1" applyBorder="1" applyAlignment="1">
      <alignment horizontal="center" vertical="center"/>
    </xf>
    <xf numFmtId="0" fontId="0" fillId="6" borderId="57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56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8" borderId="56" xfId="0" applyFill="1" applyBorder="1" applyAlignment="1">
      <alignment horizontal="center" vertical="center"/>
    </xf>
    <xf numFmtId="0" fontId="0" fillId="8" borderId="57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5" fillId="20" borderId="38" xfId="0" applyFont="1" applyFill="1" applyBorder="1" applyAlignment="1">
      <alignment horizontal="center" vertical="center"/>
    </xf>
    <xf numFmtId="0" fontId="5" fillId="20" borderId="39" xfId="0" applyFont="1" applyFill="1" applyBorder="1" applyAlignment="1">
      <alignment horizontal="center" vertical="center"/>
    </xf>
    <xf numFmtId="0" fontId="5" fillId="20" borderId="41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0" fillId="17" borderId="34" xfId="0" applyFill="1" applyBorder="1" applyAlignment="1">
      <alignment horizontal="center" vertical="center"/>
    </xf>
    <xf numFmtId="0" fontId="0" fillId="17" borderId="57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5" fillId="20" borderId="40" xfId="0" applyFont="1" applyFill="1" applyBorder="1" applyAlignment="1">
      <alignment horizontal="center" vertical="center"/>
    </xf>
    <xf numFmtId="2" fontId="0" fillId="23" borderId="2" xfId="0" applyNumberFormat="1" applyFill="1" applyBorder="1" applyAlignment="1">
      <alignment horizontal="center" vertical="center"/>
    </xf>
    <xf numFmtId="2" fontId="0" fillId="23" borderId="3" xfId="0" applyNumberFormat="1" applyFill="1" applyBorder="1" applyAlignment="1">
      <alignment horizontal="center" vertical="center"/>
    </xf>
    <xf numFmtId="164" fontId="0" fillId="19" borderId="63" xfId="0" applyNumberFormat="1" applyFill="1" applyBorder="1" applyAlignment="1">
      <alignment horizontal="center"/>
    </xf>
    <xf numFmtId="164" fontId="0" fillId="19" borderId="64" xfId="0" applyNumberFormat="1" applyFill="1" applyBorder="1" applyAlignment="1">
      <alignment horizontal="center"/>
    </xf>
    <xf numFmtId="2" fontId="0" fillId="13" borderId="3" xfId="0" applyNumberFormat="1" applyFill="1" applyBorder="1" applyAlignment="1">
      <alignment horizontal="center"/>
    </xf>
    <xf numFmtId="2" fontId="0" fillId="21" borderId="3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 wrapText="1"/>
    </xf>
    <xf numFmtId="10" fontId="0" fillId="0" borderId="6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20" borderId="54" xfId="0" applyFont="1" applyFill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 wrapText="1"/>
    </xf>
    <xf numFmtId="10" fontId="0" fillId="0" borderId="9" xfId="0" applyNumberFormat="1" applyBorder="1" applyAlignment="1">
      <alignment horizontal="center" vertical="center" wrapText="1"/>
    </xf>
    <xf numFmtId="0" fontId="4" fillId="20" borderId="38" xfId="0" applyFont="1" applyFill="1" applyBorder="1" applyAlignment="1">
      <alignment horizontal="center" vertical="center"/>
    </xf>
    <xf numFmtId="0" fontId="4" fillId="20" borderId="39" xfId="0" applyFont="1" applyFill="1" applyBorder="1" applyAlignment="1">
      <alignment horizontal="center" vertical="center"/>
    </xf>
    <xf numFmtId="0" fontId="4" fillId="20" borderId="41" xfId="0" applyFont="1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0" fillId="15" borderId="20" xfId="0" applyFill="1" applyBorder="1" applyAlignment="1">
      <alignment horizontal="center" vertical="center"/>
    </xf>
    <xf numFmtId="0" fontId="4" fillId="20" borderId="40" xfId="0" applyFont="1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0" fillId="18" borderId="19" xfId="0" applyFill="1" applyBorder="1" applyAlignment="1">
      <alignment horizontal="center" vertical="center"/>
    </xf>
    <xf numFmtId="0" fontId="0" fillId="18" borderId="20" xfId="0" applyFill="1" applyBorder="1" applyAlignment="1">
      <alignment horizontal="center" vertical="center"/>
    </xf>
    <xf numFmtId="0" fontId="0" fillId="19" borderId="18" xfId="0" applyFill="1" applyBorder="1" applyAlignment="1">
      <alignment horizontal="center" vertical="center"/>
    </xf>
    <xf numFmtId="0" fontId="0" fillId="19" borderId="19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0" fontId="0" fillId="17" borderId="19" xfId="0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wrapText="1"/>
    </xf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18" borderId="34" xfId="0" applyFill="1" applyBorder="1" applyAlignment="1">
      <alignment horizontal="center" vertical="center"/>
    </xf>
    <xf numFmtId="0" fontId="0" fillId="18" borderId="57" xfId="0" applyFill="1" applyBorder="1" applyAlignment="1">
      <alignment horizontal="center" vertical="center"/>
    </xf>
    <xf numFmtId="0" fontId="9" fillId="18" borderId="2" xfId="0" applyFont="1" applyFill="1" applyBorder="1" applyAlignment="1">
      <alignment horizontal="right" vertical="center"/>
    </xf>
    <xf numFmtId="1" fontId="9" fillId="18" borderId="3" xfId="0" applyNumberFormat="1" applyFont="1" applyFill="1" applyBorder="1" applyAlignment="1">
      <alignment horizontal="center" vertical="center"/>
    </xf>
    <xf numFmtId="166" fontId="9" fillId="18" borderId="5" xfId="0" applyNumberFormat="1" applyFont="1" applyFill="1" applyBorder="1" applyAlignment="1">
      <alignment horizontal="right" vertical="center"/>
    </xf>
    <xf numFmtId="1" fontId="9" fillId="18" borderId="6" xfId="0" applyNumberFormat="1" applyFont="1" applyFill="1" applyBorder="1" applyAlignment="1">
      <alignment horizontal="center" vertical="center"/>
    </xf>
    <xf numFmtId="0" fontId="9" fillId="18" borderId="5" xfId="0" applyFont="1" applyFill="1" applyBorder="1" applyAlignment="1">
      <alignment horizontal="right" vertical="center"/>
    </xf>
    <xf numFmtId="1" fontId="9" fillId="18" borderId="0" xfId="0" applyNumberFormat="1" applyFont="1" applyFill="1" applyAlignment="1">
      <alignment horizontal="center" vertical="center"/>
    </xf>
    <xf numFmtId="166" fontId="0" fillId="18" borderId="7" xfId="0" applyNumberFormat="1" applyFill="1" applyBorder="1" applyAlignment="1">
      <alignment horizontal="right" vertical="center"/>
    </xf>
    <xf numFmtId="166" fontId="0" fillId="18" borderId="8" xfId="0" applyNumberForma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48"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A7A9"/>
      <color rgb="FFFF7C80"/>
      <color rgb="FFFFE089"/>
      <color rgb="FF66FF33"/>
      <color rgb="FF4CAF50"/>
      <color rgb="FFFFC107"/>
      <color rgb="FF22BDFF"/>
      <color rgb="FFFF6600"/>
      <color rgb="FFFFCCCC"/>
      <color rgb="FF9E48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Bitcoin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ARIMA Monthly</c:v>
          </c:tx>
          <c:spPr>
            <a:ln w="25400" cap="rnd">
              <a:solidFill>
                <a:schemeClr val="accent1">
                  <a:alpha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09A-41C4-93BF-73A0BE1632D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09A-41C4-93BF-73A0BE1632D1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09A-41C4-93BF-73A0BE1632D1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09A-41C4-93BF-73A0BE1632D1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09A-41C4-93BF-73A0BE1632D1}"/>
              </c:ext>
            </c:extLst>
          </c:dPt>
          <c:cat>
            <c:strRef>
              <c:f>'ARIMA FINAL'!$B$3:$B$30</c:f>
              <c:strCache>
                <c:ptCount val="28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  <c:pt idx="24">
                  <c:v>1'Abril'26</c:v>
                </c:pt>
                <c:pt idx="25">
                  <c:v>1'Julho'26</c:v>
                </c:pt>
                <c:pt idx="26">
                  <c:v>1'Outubro'26</c:v>
                </c:pt>
                <c:pt idx="27">
                  <c:v>1'Janeiro'27</c:v>
                </c:pt>
              </c:strCache>
            </c:strRef>
          </c:cat>
          <c:val>
            <c:numRef>
              <c:f>'ARIMA FINAL'!$D$3:$D$30</c:f>
              <c:numCache>
                <c:formatCode>0.00</c:formatCode>
                <c:ptCount val="28"/>
                <c:pt idx="0">
                  <c:v>9391.84</c:v>
                </c:pt>
                <c:pt idx="1">
                  <c:v>11290.93</c:v>
                </c:pt>
                <c:pt idx="2">
                  <c:v>13131.78</c:v>
                </c:pt>
                <c:pt idx="3">
                  <c:v>20641.349999999999</c:v>
                </c:pt>
                <c:pt idx="4">
                  <c:v>55013.8</c:v>
                </c:pt>
                <c:pt idx="5">
                  <c:v>39736.269999999997</c:v>
                </c:pt>
                <c:pt idx="6">
                  <c:v>54077.78</c:v>
                </c:pt>
                <c:pt idx="7">
                  <c:v>63506.04</c:v>
                </c:pt>
                <c:pt idx="8">
                  <c:v>48824.97</c:v>
                </c:pt>
                <c:pt idx="9">
                  <c:v>32598.09</c:v>
                </c:pt>
                <c:pt idx="10">
                  <c:v>21972.720000000001</c:v>
                </c:pt>
                <c:pt idx="11">
                  <c:v>18384.73</c:v>
                </c:pt>
                <c:pt idx="12">
                  <c:v>25797.06</c:v>
                </c:pt>
                <c:pt idx="13">
                  <c:v>29263.66</c:v>
                </c:pt>
                <c:pt idx="14">
                  <c:v>28256.46</c:v>
                </c:pt>
                <c:pt idx="15">
                  <c:v>42074.9</c:v>
                </c:pt>
                <c:pt idx="16">
                  <c:v>68589.429999999993</c:v>
                </c:pt>
                <c:pt idx="17">
                  <c:v>73345.210000000006</c:v>
                </c:pt>
                <c:pt idx="18">
                  <c:v>61933.52</c:v>
                </c:pt>
                <c:pt idx="19">
                  <c:v>106284.36</c:v>
                </c:pt>
                <c:pt idx="20">
                  <c:v>92378.85</c:v>
                </c:pt>
                <c:pt idx="21">
                  <c:v>113839.89</c:v>
                </c:pt>
                <c:pt idx="22">
                  <c:v>117847.47</c:v>
                </c:pt>
                <c:pt idx="23">
                  <c:v>93312.15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6-4F73-B1A9-78B6A2048A77}"/>
            </c:ext>
          </c:extLst>
        </c:ser>
        <c:ser>
          <c:idx val="2"/>
          <c:order val="1"/>
          <c:tx>
            <c:v>ARIMA Static</c:v>
          </c:tx>
          <c:spPr>
            <a:ln w="25400" cap="rnd">
              <a:solidFill>
                <a:schemeClr val="accent6">
                  <a:alpha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alpha val="50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6">
                    <a:alpha val="50000"/>
                  </a:schemeClr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09A-41C4-93BF-73A0BE1632D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6">
                    <a:alpha val="50000"/>
                  </a:schemeClr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09A-41C4-93BF-73A0BE1632D1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alpha val="50000"/>
                  </a:schemeClr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09A-41C4-93BF-73A0BE1632D1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6">
                    <a:alpha val="50000"/>
                  </a:schemeClr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09A-41C4-93BF-73A0BE1632D1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6">
                    <a:alpha val="50000"/>
                  </a:schemeClr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09A-41C4-93BF-73A0BE1632D1}"/>
              </c:ext>
            </c:extLst>
          </c:dPt>
          <c:val>
            <c:numRef>
              <c:f>'ARIMA FINAL'!$X$3:$X$30</c:f>
              <c:numCache>
                <c:formatCode>0.00</c:formatCode>
                <c:ptCount val="28"/>
                <c:pt idx="0">
                  <c:v>9730.02</c:v>
                </c:pt>
                <c:pt idx="1">
                  <c:v>13061.99</c:v>
                </c:pt>
                <c:pt idx="2">
                  <c:v>17591.79</c:v>
                </c:pt>
                <c:pt idx="3">
                  <c:v>23692.5</c:v>
                </c:pt>
                <c:pt idx="4">
                  <c:v>39029.660000000003</c:v>
                </c:pt>
                <c:pt idx="5">
                  <c:v>52653.22</c:v>
                </c:pt>
                <c:pt idx="6">
                  <c:v>71266.28</c:v>
                </c:pt>
                <c:pt idx="7">
                  <c:v>96459.09</c:v>
                </c:pt>
                <c:pt idx="8">
                  <c:v>60771.79</c:v>
                </c:pt>
                <c:pt idx="9">
                  <c:v>80681.100000000006</c:v>
                </c:pt>
                <c:pt idx="10">
                  <c:v>107446.94</c:v>
                </c:pt>
                <c:pt idx="11">
                  <c:v>143092.29999999999</c:v>
                </c:pt>
                <c:pt idx="12">
                  <c:v>21000.880000000001</c:v>
                </c:pt>
                <c:pt idx="13">
                  <c:v>26698.63</c:v>
                </c:pt>
                <c:pt idx="14">
                  <c:v>34031.879999999997</c:v>
                </c:pt>
                <c:pt idx="15">
                  <c:v>43379.35</c:v>
                </c:pt>
                <c:pt idx="16">
                  <c:v>53703.54</c:v>
                </c:pt>
                <c:pt idx="17">
                  <c:v>68239.16</c:v>
                </c:pt>
                <c:pt idx="18">
                  <c:v>89637.59</c:v>
                </c:pt>
                <c:pt idx="19">
                  <c:v>110759.65</c:v>
                </c:pt>
                <c:pt idx="20">
                  <c:v>118317.12</c:v>
                </c:pt>
                <c:pt idx="21">
                  <c:v>149940.38</c:v>
                </c:pt>
                <c:pt idx="22">
                  <c:v>190511</c:v>
                </c:pt>
                <c:pt idx="23">
                  <c:v>242059.16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9A-41C4-93BF-73A0BE1632D1}"/>
            </c:ext>
          </c:extLst>
        </c:ser>
        <c:ser>
          <c:idx val="3"/>
          <c:order val="2"/>
          <c:tx>
            <c:v>RW Monthly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'RANDOM WALK'!$C$3:$C$26</c:f>
              <c:numCache>
                <c:formatCode>0.00</c:formatCode>
                <c:ptCount val="24"/>
                <c:pt idx="0">
                  <c:v>9470.8799999999992</c:v>
                </c:pt>
                <c:pt idx="1">
                  <c:v>11239.97</c:v>
                </c:pt>
                <c:pt idx="2">
                  <c:v>13121.52</c:v>
                </c:pt>
                <c:pt idx="3">
                  <c:v>20779.330000000002</c:v>
                </c:pt>
                <c:pt idx="4">
                  <c:v>55212</c:v>
                </c:pt>
                <c:pt idx="5">
                  <c:v>40520.19</c:v>
                </c:pt>
                <c:pt idx="6">
                  <c:v>53939.81</c:v>
                </c:pt>
                <c:pt idx="7">
                  <c:v>63307.83</c:v>
                </c:pt>
                <c:pt idx="8">
                  <c:v>48975.48</c:v>
                </c:pt>
                <c:pt idx="9">
                  <c:v>32603.49</c:v>
                </c:pt>
                <c:pt idx="10">
                  <c:v>21925.11</c:v>
                </c:pt>
                <c:pt idx="11">
                  <c:v>18488.169999999998</c:v>
                </c:pt>
                <c:pt idx="12">
                  <c:v>25755.1</c:v>
                </c:pt>
                <c:pt idx="13">
                  <c:v>29127.05</c:v>
                </c:pt>
                <c:pt idx="14">
                  <c:v>27971.13</c:v>
                </c:pt>
                <c:pt idx="15">
                  <c:v>42073.29</c:v>
                </c:pt>
                <c:pt idx="16">
                  <c:v>67960.210000000006</c:v>
                </c:pt>
                <c:pt idx="17">
                  <c:v>73561.66</c:v>
                </c:pt>
                <c:pt idx="18">
                  <c:v>62077.120000000003</c:v>
                </c:pt>
                <c:pt idx="19">
                  <c:v>105770.23</c:v>
                </c:pt>
                <c:pt idx="20">
                  <c:v>93413.73</c:v>
                </c:pt>
                <c:pt idx="21">
                  <c:v>114295.65</c:v>
                </c:pt>
                <c:pt idx="22">
                  <c:v>118088.85</c:v>
                </c:pt>
                <c:pt idx="23">
                  <c:v>93289.99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160-4957-9D15-3D22673971EC}"/>
            </c:ext>
          </c:extLst>
        </c:ser>
        <c:ser>
          <c:idx val="4"/>
          <c:order val="3"/>
          <c:tx>
            <c:v>RW Static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'RANDOM WALK'!$R$3:$R$26</c:f>
              <c:numCache>
                <c:formatCode>0.00</c:formatCode>
                <c:ptCount val="24"/>
                <c:pt idx="0">
                  <c:v>9694.51</c:v>
                </c:pt>
                <c:pt idx="1">
                  <c:v>13017.56</c:v>
                </c:pt>
                <c:pt idx="2">
                  <c:v>17536.39</c:v>
                </c:pt>
                <c:pt idx="3">
                  <c:v>23623.86</c:v>
                </c:pt>
                <c:pt idx="4">
                  <c:v>39064.36</c:v>
                </c:pt>
                <c:pt idx="5">
                  <c:v>52713.51</c:v>
                </c:pt>
                <c:pt idx="6">
                  <c:v>71366.31</c:v>
                </c:pt>
                <c:pt idx="7">
                  <c:v>96619.45</c:v>
                </c:pt>
                <c:pt idx="8">
                  <c:v>61380.79</c:v>
                </c:pt>
                <c:pt idx="9">
                  <c:v>81515.41</c:v>
                </c:pt>
                <c:pt idx="10">
                  <c:v>108592.77</c:v>
                </c:pt>
                <c:pt idx="11">
                  <c:v>144664.53</c:v>
                </c:pt>
                <c:pt idx="12">
                  <c:v>21030.98</c:v>
                </c:pt>
                <c:pt idx="13">
                  <c:v>26745.57</c:v>
                </c:pt>
                <c:pt idx="14">
                  <c:v>34102.9</c:v>
                </c:pt>
                <c:pt idx="15">
                  <c:v>43484.12</c:v>
                </c:pt>
                <c:pt idx="16">
                  <c:v>53875.22</c:v>
                </c:pt>
                <c:pt idx="17">
                  <c:v>68481.83</c:v>
                </c:pt>
                <c:pt idx="18">
                  <c:v>87278.35</c:v>
                </c:pt>
                <c:pt idx="19">
                  <c:v>111234.03</c:v>
                </c:pt>
                <c:pt idx="20">
                  <c:v>118573.55</c:v>
                </c:pt>
                <c:pt idx="21">
                  <c:v>150279.04999999999</c:v>
                </c:pt>
                <c:pt idx="22">
                  <c:v>190958.91</c:v>
                </c:pt>
                <c:pt idx="23">
                  <c:v>242650.63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160-4957-9D15-3D22673971EC}"/>
            </c:ext>
          </c:extLst>
        </c:ser>
        <c:ser>
          <c:idx val="1"/>
          <c:order val="4"/>
          <c:tx>
            <c:v>Real prices</c:v>
          </c:tx>
          <c:spPr>
            <a:ln w="19050" cap="rnd" cmpd="sng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'ARIMA FINAL'!$B$3:$B$30</c:f>
              <c:strCache>
                <c:ptCount val="28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  <c:pt idx="24">
                  <c:v>1'Abril'26</c:v>
                </c:pt>
                <c:pt idx="25">
                  <c:v>1'Julho'26</c:v>
                </c:pt>
                <c:pt idx="26">
                  <c:v>1'Outubro'26</c:v>
                </c:pt>
                <c:pt idx="27">
                  <c:v>1'Janeiro'27</c:v>
                </c:pt>
              </c:strCache>
            </c:strRef>
          </c:cat>
          <c:val>
            <c:numRef>
              <c:f>'ARIMA FINAL'!$E$3:$E$30</c:f>
              <c:numCache>
                <c:formatCode>0.00</c:formatCode>
                <c:ptCount val="28"/>
                <c:pt idx="0">
                  <c:v>6638.5</c:v>
                </c:pt>
                <c:pt idx="1">
                  <c:v>9229.9</c:v>
                </c:pt>
                <c:pt idx="2">
                  <c:v>10620.5</c:v>
                </c:pt>
                <c:pt idx="3">
                  <c:v>29359.9</c:v>
                </c:pt>
                <c:pt idx="4">
                  <c:v>58718.3</c:v>
                </c:pt>
                <c:pt idx="5">
                  <c:v>33543.599999999999</c:v>
                </c:pt>
                <c:pt idx="6">
                  <c:v>48146</c:v>
                </c:pt>
                <c:pt idx="7">
                  <c:v>47738</c:v>
                </c:pt>
                <c:pt idx="8">
                  <c:v>46297</c:v>
                </c:pt>
                <c:pt idx="9">
                  <c:v>19262.900000000001</c:v>
                </c:pt>
                <c:pt idx="10">
                  <c:v>19311.900000000001</c:v>
                </c:pt>
                <c:pt idx="11">
                  <c:v>16618.400000000001</c:v>
                </c:pt>
                <c:pt idx="12">
                  <c:v>28456.1</c:v>
                </c:pt>
                <c:pt idx="13">
                  <c:v>30586.799999999999</c:v>
                </c:pt>
                <c:pt idx="14">
                  <c:v>27974.5</c:v>
                </c:pt>
                <c:pt idx="15">
                  <c:v>44183.4</c:v>
                </c:pt>
                <c:pt idx="16">
                  <c:v>69664.399999999994</c:v>
                </c:pt>
                <c:pt idx="17">
                  <c:v>62890.1</c:v>
                </c:pt>
                <c:pt idx="18">
                  <c:v>60835.5</c:v>
                </c:pt>
                <c:pt idx="19">
                  <c:v>94560.2</c:v>
                </c:pt>
                <c:pt idx="20">
                  <c:v>85164.2</c:v>
                </c:pt>
                <c:pt idx="21">
                  <c:v>105694.3</c:v>
                </c:pt>
                <c:pt idx="22">
                  <c:v>118576.2</c:v>
                </c:pt>
                <c:pt idx="23">
                  <c:v>88812.1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26-4F73-B1A9-78B6A2048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712591"/>
        <c:axId val="355709231"/>
      </c:lineChart>
      <c:catAx>
        <c:axId val="35571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55709231"/>
        <c:crosses val="autoZero"/>
        <c:auto val="1"/>
        <c:lblAlgn val="ctr"/>
        <c:lblOffset val="100"/>
        <c:tickLblSkip val="1"/>
        <c:noMultiLvlLbl val="0"/>
      </c:catAx>
      <c:valAx>
        <c:axId val="35570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5571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S&amp;P</a:t>
            </a:r>
            <a:r>
              <a:rPr lang="pt-PT" baseline="0"/>
              <a:t> 500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Real prices</c:v>
          </c:tx>
          <c:spPr>
            <a:ln w="31750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FINAL'!$B$3:$B$30</c:f>
              <c:strCache>
                <c:ptCount val="28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  <c:pt idx="24">
                  <c:v>1'Abril'26</c:v>
                </c:pt>
                <c:pt idx="25">
                  <c:v>1'Julho'26</c:v>
                </c:pt>
                <c:pt idx="26">
                  <c:v>1'Outubro'26</c:v>
                </c:pt>
                <c:pt idx="27">
                  <c:v>1'Janeiro'27</c:v>
                </c:pt>
              </c:strCache>
            </c:strRef>
          </c:cat>
          <c:val>
            <c:numRef>
              <c:f>'ARIMA FINAL'!$I$3:$I$30</c:f>
              <c:numCache>
                <c:formatCode>0.00</c:formatCode>
                <c:ptCount val="28"/>
                <c:pt idx="0">
                  <c:v>2470.5</c:v>
                </c:pt>
                <c:pt idx="1">
                  <c:v>3115.9</c:v>
                </c:pt>
                <c:pt idx="2">
                  <c:v>3380.8</c:v>
                </c:pt>
                <c:pt idx="3">
                  <c:v>3756.1</c:v>
                </c:pt>
                <c:pt idx="4">
                  <c:v>4019.9</c:v>
                </c:pt>
                <c:pt idx="5">
                  <c:v>4319.8999999999996</c:v>
                </c:pt>
                <c:pt idx="6">
                  <c:v>4357</c:v>
                </c:pt>
                <c:pt idx="7">
                  <c:v>4766.2</c:v>
                </c:pt>
                <c:pt idx="8">
                  <c:v>4545.8599999999997</c:v>
                </c:pt>
                <c:pt idx="9">
                  <c:v>3825.33</c:v>
                </c:pt>
                <c:pt idx="10">
                  <c:v>3585.62</c:v>
                </c:pt>
                <c:pt idx="11">
                  <c:v>3839.5</c:v>
                </c:pt>
                <c:pt idx="12">
                  <c:v>4109.3100000000004</c:v>
                </c:pt>
                <c:pt idx="13">
                  <c:v>4450.38</c:v>
                </c:pt>
                <c:pt idx="14">
                  <c:v>4288.05</c:v>
                </c:pt>
                <c:pt idx="15">
                  <c:v>4769.83</c:v>
                </c:pt>
                <c:pt idx="16">
                  <c:v>5243.77</c:v>
                </c:pt>
                <c:pt idx="17">
                  <c:v>5475.09</c:v>
                </c:pt>
                <c:pt idx="18">
                  <c:v>5708.75</c:v>
                </c:pt>
                <c:pt idx="19">
                  <c:v>5881.63</c:v>
                </c:pt>
                <c:pt idx="20">
                  <c:v>5633.07</c:v>
                </c:pt>
                <c:pt idx="21">
                  <c:v>6198.01</c:v>
                </c:pt>
                <c:pt idx="22">
                  <c:v>6711.2</c:v>
                </c:pt>
                <c:pt idx="23">
                  <c:v>6845.5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F-4489-91EF-E5CE2070D7A5}"/>
            </c:ext>
          </c:extLst>
        </c:ser>
        <c:ser>
          <c:idx val="0"/>
          <c:order val="1"/>
          <c:tx>
            <c:v>Monthly</c:v>
          </c:tx>
          <c:spPr>
            <a:ln w="254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87C-40EF-A4E4-3D7743DF5DD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87C-40EF-A4E4-3D7743DF5DD1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87C-40EF-A4E4-3D7743DF5DD1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87C-40EF-A4E4-3D7743DF5DD1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87C-40EF-A4E4-3D7743DF5DD1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87C-40EF-A4E4-3D7743DF5DD1}"/>
              </c:ext>
            </c:extLst>
          </c:dPt>
          <c:cat>
            <c:strRef>
              <c:f>'ARIMA FINAL'!$B$3:$B$30</c:f>
              <c:strCache>
                <c:ptCount val="28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  <c:pt idx="24">
                  <c:v>1'Abril'26</c:v>
                </c:pt>
                <c:pt idx="25">
                  <c:v>1'Julho'26</c:v>
                </c:pt>
                <c:pt idx="26">
                  <c:v>1'Outubro'26</c:v>
                </c:pt>
                <c:pt idx="27">
                  <c:v>1'Janeiro'27</c:v>
                </c:pt>
              </c:strCache>
            </c:strRef>
          </c:cat>
          <c:val>
            <c:numRef>
              <c:f>'ARIMA FINAL'!$H$3:$H$30</c:f>
              <c:numCache>
                <c:formatCode>0.00</c:formatCode>
                <c:ptCount val="28"/>
                <c:pt idx="0">
                  <c:v>2963.33</c:v>
                </c:pt>
                <c:pt idx="1">
                  <c:v>3066.07</c:v>
                </c:pt>
                <c:pt idx="2">
                  <c:v>3541.19</c:v>
                </c:pt>
                <c:pt idx="3">
                  <c:v>3678.92</c:v>
                </c:pt>
                <c:pt idx="4">
                  <c:v>3917.18</c:v>
                </c:pt>
                <c:pt idx="5">
                  <c:v>4218.92</c:v>
                </c:pt>
                <c:pt idx="6">
                  <c:v>4543.91</c:v>
                </c:pt>
                <c:pt idx="7">
                  <c:v>4540.7299999999996</c:v>
                </c:pt>
                <c:pt idx="8">
                  <c:v>4325.97</c:v>
                </c:pt>
                <c:pt idx="9">
                  <c:v>4120.01</c:v>
                </c:pt>
                <c:pt idx="10">
                  <c:v>3984.72</c:v>
                </c:pt>
                <c:pt idx="11">
                  <c:v>4081.67</c:v>
                </c:pt>
                <c:pt idx="12">
                  <c:v>3967.4</c:v>
                </c:pt>
                <c:pt idx="13">
                  <c:v>4239.49</c:v>
                </c:pt>
                <c:pt idx="14">
                  <c:v>4534.6400000000003</c:v>
                </c:pt>
                <c:pt idx="15">
                  <c:v>4612.05</c:v>
                </c:pt>
                <c:pt idx="16">
                  <c:v>5157.96</c:v>
                </c:pt>
                <c:pt idx="17">
                  <c:v>5297.3</c:v>
                </c:pt>
                <c:pt idx="18">
                  <c:v>5674.85</c:v>
                </c:pt>
                <c:pt idx="19">
                  <c:v>6062.78</c:v>
                </c:pt>
                <c:pt idx="20">
                  <c:v>5975.76</c:v>
                </c:pt>
                <c:pt idx="21">
                  <c:v>5939.33</c:v>
                </c:pt>
                <c:pt idx="22">
                  <c:v>6492.46</c:v>
                </c:pt>
                <c:pt idx="23">
                  <c:v>6848.63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6F-4489-91EF-E5CE2070D7A5}"/>
            </c:ext>
          </c:extLst>
        </c:ser>
        <c:ser>
          <c:idx val="2"/>
          <c:order val="2"/>
          <c:tx>
            <c:v>Static</c:v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CAF50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6"/>
                  </a:solidFill>
                  <a:prstDash val="sys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87C-40EF-A4E4-3D7743DF5DD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6"/>
                  </a:solidFill>
                  <a:prstDash val="sys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87C-40EF-A4E4-3D7743DF5DD1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6"/>
                  </a:solidFill>
                  <a:prstDash val="sys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87C-40EF-A4E4-3D7743DF5DD1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6"/>
                  </a:solidFill>
                  <a:prstDash val="sys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87C-40EF-A4E4-3D7743DF5DD1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6"/>
                  </a:solidFill>
                  <a:prstDash val="sys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87C-40EF-A4E4-3D7743DF5DD1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6"/>
                  </a:solidFill>
                  <a:prstDash val="sys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87C-40EF-A4E4-3D7743DF5DD1}"/>
              </c:ext>
            </c:extLst>
          </c:dPt>
          <c:val>
            <c:numRef>
              <c:f>'ARIMA FINAL'!$AD$3:$AD$30</c:f>
              <c:numCache>
                <c:formatCode>0.00</c:formatCode>
                <c:ptCount val="28"/>
                <c:pt idx="0">
                  <c:v>3262.74</c:v>
                </c:pt>
                <c:pt idx="1">
                  <c:v>3295.34</c:v>
                </c:pt>
                <c:pt idx="2">
                  <c:v>3328.62</c:v>
                </c:pt>
                <c:pt idx="3">
                  <c:v>3362.24</c:v>
                </c:pt>
                <c:pt idx="4">
                  <c:v>3796.32</c:v>
                </c:pt>
                <c:pt idx="5">
                  <c:v>3839.28</c:v>
                </c:pt>
                <c:pt idx="6">
                  <c:v>3883.21</c:v>
                </c:pt>
                <c:pt idx="7">
                  <c:v>3927.64</c:v>
                </c:pt>
                <c:pt idx="8">
                  <c:v>4831.95</c:v>
                </c:pt>
                <c:pt idx="9">
                  <c:v>4897.33</c:v>
                </c:pt>
                <c:pt idx="10">
                  <c:v>4964.32</c:v>
                </c:pt>
                <c:pt idx="11">
                  <c:v>5032.24</c:v>
                </c:pt>
                <c:pt idx="12">
                  <c:v>3880.12</c:v>
                </c:pt>
                <c:pt idx="13">
                  <c:v>3921.12</c:v>
                </c:pt>
                <c:pt idx="14">
                  <c:v>3963.02</c:v>
                </c:pt>
                <c:pt idx="15">
                  <c:v>4005.37</c:v>
                </c:pt>
                <c:pt idx="16">
                  <c:v>4829.71</c:v>
                </c:pt>
                <c:pt idx="17">
                  <c:v>4889.62</c:v>
                </c:pt>
                <c:pt idx="18">
                  <c:v>4950.9399999999996</c:v>
                </c:pt>
                <c:pt idx="19">
                  <c:v>5013.04</c:v>
                </c:pt>
                <c:pt idx="20">
                  <c:v>5966.37</c:v>
                </c:pt>
                <c:pt idx="21">
                  <c:v>6050.02</c:v>
                </c:pt>
                <c:pt idx="22">
                  <c:v>6135.78</c:v>
                </c:pt>
                <c:pt idx="23">
                  <c:v>6222.76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C-40EF-A4E4-3D7743DF5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712591"/>
        <c:axId val="355709231"/>
      </c:lineChart>
      <c:catAx>
        <c:axId val="35571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55709231"/>
        <c:crosses val="autoZero"/>
        <c:auto val="1"/>
        <c:lblAlgn val="ctr"/>
        <c:lblOffset val="100"/>
        <c:tickLblSkip val="1"/>
        <c:noMultiLvlLbl val="0"/>
      </c:catAx>
      <c:valAx>
        <c:axId val="355709231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55712591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Real prices</c:v>
          </c:tx>
          <c:spPr>
            <a:ln w="31750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FINAL'!$B$3:$B$30</c:f>
              <c:strCache>
                <c:ptCount val="28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  <c:pt idx="24">
                  <c:v>1'Abril'26</c:v>
                </c:pt>
                <c:pt idx="25">
                  <c:v>1'Julho'26</c:v>
                </c:pt>
                <c:pt idx="26">
                  <c:v>1'Outubro'26</c:v>
                </c:pt>
                <c:pt idx="27">
                  <c:v>1'Janeiro'27</c:v>
                </c:pt>
              </c:strCache>
            </c:strRef>
          </c:cat>
          <c:val>
            <c:numRef>
              <c:f>'ARIMA FINAL'!$M$3:$M$30</c:f>
              <c:numCache>
                <c:formatCode>0.00</c:formatCode>
                <c:ptCount val="28"/>
                <c:pt idx="0">
                  <c:v>1584.1</c:v>
                </c:pt>
                <c:pt idx="1">
                  <c:v>1779.9</c:v>
                </c:pt>
                <c:pt idx="2">
                  <c:v>1912.3</c:v>
                </c:pt>
                <c:pt idx="3">
                  <c:v>1895.1</c:v>
                </c:pt>
                <c:pt idx="4">
                  <c:v>1727.3</c:v>
                </c:pt>
                <c:pt idx="5">
                  <c:v>1776.8</c:v>
                </c:pt>
                <c:pt idx="6">
                  <c:v>1757.7</c:v>
                </c:pt>
                <c:pt idx="7">
                  <c:v>1828.6</c:v>
                </c:pt>
                <c:pt idx="8">
                  <c:v>1951.1</c:v>
                </c:pt>
                <c:pt idx="9">
                  <c:v>1807.3</c:v>
                </c:pt>
                <c:pt idx="10">
                  <c:v>1663.6</c:v>
                </c:pt>
                <c:pt idx="11">
                  <c:v>1826</c:v>
                </c:pt>
                <c:pt idx="12">
                  <c:v>1988.5</c:v>
                </c:pt>
                <c:pt idx="13">
                  <c:v>1917.9</c:v>
                </c:pt>
                <c:pt idx="14">
                  <c:v>1869.5</c:v>
                </c:pt>
                <c:pt idx="15">
                  <c:v>2083.5</c:v>
                </c:pt>
                <c:pt idx="16">
                  <c:v>2245.9</c:v>
                </c:pt>
                <c:pt idx="17">
                  <c:v>2338.9</c:v>
                </c:pt>
                <c:pt idx="18">
                  <c:v>2678.5</c:v>
                </c:pt>
                <c:pt idx="19">
                  <c:v>2618.1</c:v>
                </c:pt>
                <c:pt idx="20">
                  <c:v>3146</c:v>
                </c:pt>
                <c:pt idx="21">
                  <c:v>3349.8</c:v>
                </c:pt>
                <c:pt idx="22">
                  <c:v>3897.5</c:v>
                </c:pt>
                <c:pt idx="23">
                  <c:v>4361.55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95-481E-A3F2-08CDFEFFC837}"/>
            </c:ext>
          </c:extLst>
        </c:ser>
        <c:ser>
          <c:idx val="0"/>
          <c:order val="1"/>
          <c:tx>
            <c:v>Monthly</c:v>
          </c:tx>
          <c:spPr>
            <a:ln w="254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601-4FC7-9EF1-8B48B15AD83D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601-4FC7-9EF1-8B48B15AD83D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601-4FC7-9EF1-8B48B15AD83D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601-4FC7-9EF1-8B48B15AD83D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601-4FC7-9EF1-8B48B15AD83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601-4FC7-9EF1-8B48B15AD83D}"/>
              </c:ext>
            </c:extLst>
          </c:dPt>
          <c:cat>
            <c:strRef>
              <c:f>'ARIMA FINAL'!$B$3:$B$30</c:f>
              <c:strCache>
                <c:ptCount val="28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  <c:pt idx="24">
                  <c:v>1'Abril'26</c:v>
                </c:pt>
                <c:pt idx="25">
                  <c:v>1'Julho'26</c:v>
                </c:pt>
                <c:pt idx="26">
                  <c:v>1'Outubro'26</c:v>
                </c:pt>
                <c:pt idx="27">
                  <c:v>1'Janeiro'27</c:v>
                </c:pt>
              </c:strCache>
            </c:strRef>
          </c:cat>
          <c:val>
            <c:numRef>
              <c:f>'ARIMA FINAL'!$L$3:$L$30</c:f>
              <c:numCache>
                <c:formatCode>0.00</c:formatCode>
                <c:ptCount val="28"/>
                <c:pt idx="0">
                  <c:v>1578.39</c:v>
                </c:pt>
                <c:pt idx="1">
                  <c:v>1756.52</c:v>
                </c:pt>
                <c:pt idx="2">
                  <c:v>1986.62</c:v>
                </c:pt>
                <c:pt idx="3">
                  <c:v>1830.74</c:v>
                </c:pt>
                <c:pt idx="4">
                  <c:v>1735.9</c:v>
                </c:pt>
                <c:pt idx="5">
                  <c:v>1918.05</c:v>
                </c:pt>
                <c:pt idx="6">
                  <c:v>1826.88</c:v>
                </c:pt>
                <c:pt idx="7">
                  <c:v>1796.12</c:v>
                </c:pt>
                <c:pt idx="8">
                  <c:v>1958.8</c:v>
                </c:pt>
                <c:pt idx="9">
                  <c:v>1858.81</c:v>
                </c:pt>
                <c:pt idx="10">
                  <c:v>1711.01</c:v>
                </c:pt>
                <c:pt idx="11">
                  <c:v>1820.68</c:v>
                </c:pt>
                <c:pt idx="12">
                  <c:v>1858.35</c:v>
                </c:pt>
                <c:pt idx="13">
                  <c:v>2000.46</c:v>
                </c:pt>
                <c:pt idx="14">
                  <c:v>1960.68</c:v>
                </c:pt>
                <c:pt idx="15">
                  <c:v>2062.7399999999998</c:v>
                </c:pt>
                <c:pt idx="16">
                  <c:v>2069.34</c:v>
                </c:pt>
                <c:pt idx="17">
                  <c:v>2371.9</c:v>
                </c:pt>
                <c:pt idx="18">
                  <c:v>2555.67</c:v>
                </c:pt>
                <c:pt idx="19">
                  <c:v>2672.89</c:v>
                </c:pt>
                <c:pt idx="20">
                  <c:v>2919.44</c:v>
                </c:pt>
                <c:pt idx="21">
                  <c:v>3371.95</c:v>
                </c:pt>
                <c:pt idx="22">
                  <c:v>3541.19</c:v>
                </c:pt>
                <c:pt idx="23">
                  <c:v>4314.18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95-481E-A3F2-08CDFEFFC837}"/>
            </c:ext>
          </c:extLst>
        </c:ser>
        <c:ser>
          <c:idx val="2"/>
          <c:order val="2"/>
          <c:tx>
            <c:v>Static</c:v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CAF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601-4FC7-9EF1-8B48B15AD83D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601-4FC7-9EF1-8B48B15AD83D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601-4FC7-9EF1-8B48B15AD83D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601-4FC7-9EF1-8B48B15AD83D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601-4FC7-9EF1-8B48B15AD83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601-4FC7-9EF1-8B48B15AD83D}"/>
              </c:ext>
            </c:extLst>
          </c:dPt>
          <c:val>
            <c:numRef>
              <c:f>'ARIMA FINAL'!$AJ$3:$AJ$30</c:f>
              <c:numCache>
                <c:formatCode>0.00</c:formatCode>
                <c:ptCount val="28"/>
                <c:pt idx="0">
                  <c:v>1555.7</c:v>
                </c:pt>
                <c:pt idx="1">
                  <c:v>1588.63</c:v>
                </c:pt>
                <c:pt idx="2">
                  <c:v>1622.64</c:v>
                </c:pt>
                <c:pt idx="3">
                  <c:v>1657.37</c:v>
                </c:pt>
                <c:pt idx="4">
                  <c:v>1938.29</c:v>
                </c:pt>
                <c:pt idx="5">
                  <c:v>1982.47</c:v>
                </c:pt>
                <c:pt idx="6">
                  <c:v>2028.17</c:v>
                </c:pt>
                <c:pt idx="7">
                  <c:v>2074.92</c:v>
                </c:pt>
                <c:pt idx="8">
                  <c:v>1867.42</c:v>
                </c:pt>
                <c:pt idx="9">
                  <c:v>1907.26</c:v>
                </c:pt>
                <c:pt idx="10">
                  <c:v>1948.41</c:v>
                </c:pt>
                <c:pt idx="11">
                  <c:v>1990.44</c:v>
                </c:pt>
                <c:pt idx="12">
                  <c:v>1863.23</c:v>
                </c:pt>
                <c:pt idx="13">
                  <c:v>1901.2</c:v>
                </c:pt>
                <c:pt idx="14">
                  <c:v>1940.39</c:v>
                </c:pt>
                <c:pt idx="15">
                  <c:v>1980.38</c:v>
                </c:pt>
                <c:pt idx="16">
                  <c:v>2127.59</c:v>
                </c:pt>
                <c:pt idx="17">
                  <c:v>2172.1</c:v>
                </c:pt>
                <c:pt idx="18">
                  <c:v>2218.06</c:v>
                </c:pt>
                <c:pt idx="19">
                  <c:v>2264.98</c:v>
                </c:pt>
                <c:pt idx="20">
                  <c:v>2676.76</c:v>
                </c:pt>
                <c:pt idx="21">
                  <c:v>2736.72</c:v>
                </c:pt>
                <c:pt idx="22">
                  <c:v>2798.71</c:v>
                </c:pt>
                <c:pt idx="23">
                  <c:v>2862.11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1-4FC7-9EF1-8B48B15AD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712591"/>
        <c:axId val="355709231"/>
      </c:lineChart>
      <c:catAx>
        <c:axId val="35571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55709231"/>
        <c:crosses val="autoZero"/>
        <c:auto val="1"/>
        <c:lblAlgn val="ctr"/>
        <c:lblOffset val="100"/>
        <c:tickLblSkip val="1"/>
        <c:noMultiLvlLbl val="0"/>
      </c:catAx>
      <c:valAx>
        <c:axId val="355709231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55712591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EUR/USD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Real prices</c:v>
          </c:tx>
          <c:spPr>
            <a:ln w="31750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FINAL'!$B$3:$B$30</c:f>
              <c:strCache>
                <c:ptCount val="28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  <c:pt idx="24">
                  <c:v>1'Abril'26</c:v>
                </c:pt>
                <c:pt idx="25">
                  <c:v>1'Julho'26</c:v>
                </c:pt>
                <c:pt idx="26">
                  <c:v>1'Outubro'26</c:v>
                </c:pt>
                <c:pt idx="27">
                  <c:v>1'Janeiro'27</c:v>
                </c:pt>
              </c:strCache>
            </c:strRef>
          </c:cat>
          <c:val>
            <c:numRef>
              <c:f>'ARIMA FINAL'!$Q$3:$Q$30</c:f>
              <c:numCache>
                <c:formatCode>0.0000</c:formatCode>
                <c:ptCount val="28"/>
                <c:pt idx="0">
                  <c:v>1.0962000000000001</c:v>
                </c:pt>
                <c:pt idx="1">
                  <c:v>1.125</c:v>
                </c:pt>
                <c:pt idx="2">
                  <c:v>1.1747000000000001</c:v>
                </c:pt>
                <c:pt idx="3">
                  <c:v>1.2213000000000001</c:v>
                </c:pt>
                <c:pt idx="4">
                  <c:v>1.1775</c:v>
                </c:pt>
                <c:pt idx="5">
                  <c:v>1.1848000000000001</c:v>
                </c:pt>
                <c:pt idx="6">
                  <c:v>1.1594</c:v>
                </c:pt>
                <c:pt idx="7">
                  <c:v>1.1368</c:v>
                </c:pt>
                <c:pt idx="8">
                  <c:v>1.1052999999999999</c:v>
                </c:pt>
                <c:pt idx="9">
                  <c:v>1.0427999999999999</c:v>
                </c:pt>
                <c:pt idx="10">
                  <c:v>0.97989999999999999</c:v>
                </c:pt>
                <c:pt idx="11">
                  <c:v>1.0702</c:v>
                </c:pt>
                <c:pt idx="12">
                  <c:v>1.0839000000000001</c:v>
                </c:pt>
                <c:pt idx="13">
                  <c:v>1.091</c:v>
                </c:pt>
                <c:pt idx="14">
                  <c:v>1.0569999999999999</c:v>
                </c:pt>
                <c:pt idx="15">
                  <c:v>1.1044</c:v>
                </c:pt>
                <c:pt idx="16">
                  <c:v>1.0743</c:v>
                </c:pt>
                <c:pt idx="17">
                  <c:v>1.0738000000000001</c:v>
                </c:pt>
                <c:pt idx="18">
                  <c:v>1.1067</c:v>
                </c:pt>
                <c:pt idx="19">
                  <c:v>1.0355000000000001</c:v>
                </c:pt>
                <c:pt idx="20">
                  <c:v>1.0792999999999999</c:v>
                </c:pt>
                <c:pt idx="21">
                  <c:v>1.1807000000000001</c:v>
                </c:pt>
                <c:pt idx="22">
                  <c:v>1.173</c:v>
                </c:pt>
                <c:pt idx="23">
                  <c:v>1.1746000000000001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71-43F5-8518-205CED0CFC7E}"/>
            </c:ext>
          </c:extLst>
        </c:ser>
        <c:ser>
          <c:idx val="0"/>
          <c:order val="1"/>
          <c:tx>
            <c:v>Monthly</c:v>
          </c:tx>
          <c:spPr>
            <a:ln w="254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B0E-4AC8-B458-4F7B3FC8BA19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B0E-4AC8-B458-4F7B3FC8BA19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B0E-4AC8-B458-4F7B3FC8BA19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B0E-4AC8-B458-4F7B3FC8BA19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B0E-4AC8-B458-4F7B3FC8BA19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B0E-4AC8-B458-4F7B3FC8BA19}"/>
              </c:ext>
            </c:extLst>
          </c:dPt>
          <c:cat>
            <c:strRef>
              <c:f>'ARIMA FINAL'!$B$3:$B$30</c:f>
              <c:strCache>
                <c:ptCount val="28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  <c:pt idx="24">
                  <c:v>1'Abril'26</c:v>
                </c:pt>
                <c:pt idx="25">
                  <c:v>1'Julho'26</c:v>
                </c:pt>
                <c:pt idx="26">
                  <c:v>1'Outubro'26</c:v>
                </c:pt>
                <c:pt idx="27">
                  <c:v>1'Janeiro'27</c:v>
                </c:pt>
              </c:strCache>
            </c:strRef>
          </c:cat>
          <c:val>
            <c:numRef>
              <c:f>'ARIMA FINAL'!$P$3:$P$30</c:f>
              <c:numCache>
                <c:formatCode>0.0000</c:formatCode>
                <c:ptCount val="28"/>
                <c:pt idx="0">
                  <c:v>1.1028</c:v>
                </c:pt>
                <c:pt idx="1">
                  <c:v>1.1137999999999999</c:v>
                </c:pt>
                <c:pt idx="2">
                  <c:v>1.1917</c:v>
                </c:pt>
                <c:pt idx="3">
                  <c:v>1.2078</c:v>
                </c:pt>
                <c:pt idx="4">
                  <c:v>1.2055</c:v>
                </c:pt>
                <c:pt idx="5">
                  <c:v>1.2219</c:v>
                </c:pt>
                <c:pt idx="6">
                  <c:v>1.1843999999999999</c:v>
                </c:pt>
                <c:pt idx="7">
                  <c:v>1.1323000000000001</c:v>
                </c:pt>
                <c:pt idx="8">
                  <c:v>1.113</c:v>
                </c:pt>
                <c:pt idx="9">
                  <c:v>1.0649</c:v>
                </c:pt>
                <c:pt idx="10">
                  <c:v>0.99429999999999996</c:v>
                </c:pt>
                <c:pt idx="11">
                  <c:v>1.0523</c:v>
                </c:pt>
                <c:pt idx="12">
                  <c:v>1.0666</c:v>
                </c:pt>
                <c:pt idx="13">
                  <c:v>1.0763</c:v>
                </c:pt>
                <c:pt idx="14">
                  <c:v>1.0774999999999999</c:v>
                </c:pt>
                <c:pt idx="15">
                  <c:v>1.0884</c:v>
                </c:pt>
                <c:pt idx="16">
                  <c:v>1.0839000000000001</c:v>
                </c:pt>
                <c:pt idx="17">
                  <c:v>1.0843</c:v>
                </c:pt>
                <c:pt idx="18">
                  <c:v>1.1049</c:v>
                </c:pt>
                <c:pt idx="19">
                  <c:v>1.0576000000000001</c:v>
                </c:pt>
                <c:pt idx="20">
                  <c:v>1.0376000000000001</c:v>
                </c:pt>
                <c:pt idx="21">
                  <c:v>1.1352</c:v>
                </c:pt>
                <c:pt idx="22">
                  <c:v>1.1716</c:v>
                </c:pt>
                <c:pt idx="23">
                  <c:v>1.1615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71-43F5-8518-205CED0CFC7E}"/>
            </c:ext>
          </c:extLst>
        </c:ser>
        <c:ser>
          <c:idx val="2"/>
          <c:order val="2"/>
          <c:tx>
            <c:v>Static</c:v>
          </c:tx>
          <c:spPr>
            <a:ln w="25400" cap="rnd">
              <a:solidFill>
                <a:srgbClr val="4CAF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CAF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B0E-4AC8-B458-4F7B3FC8BA19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B0E-4AC8-B458-4F7B3FC8BA19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B0E-4AC8-B458-4F7B3FC8BA19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B0E-4AC8-B458-4F7B3FC8BA19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B0E-4AC8-B458-4F7B3FC8BA19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rgbClr val="4CAF5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9B0E-4AC8-B458-4F7B3FC8BA19}"/>
              </c:ext>
            </c:extLst>
          </c:dPt>
          <c:val>
            <c:numRef>
              <c:f>'ARIMA FINAL'!$AP$3:$AP$30</c:f>
              <c:numCache>
                <c:formatCode>0.0000</c:formatCode>
                <c:ptCount val="28"/>
                <c:pt idx="0">
                  <c:v>1.1222000000000001</c:v>
                </c:pt>
                <c:pt idx="1">
                  <c:v>1.1234</c:v>
                </c:pt>
                <c:pt idx="2">
                  <c:v>1.1247</c:v>
                </c:pt>
                <c:pt idx="3">
                  <c:v>1.1258999999999999</c:v>
                </c:pt>
                <c:pt idx="4">
                  <c:v>1.2239</c:v>
                </c:pt>
                <c:pt idx="5">
                  <c:v>1.2263999999999999</c:v>
                </c:pt>
                <c:pt idx="6">
                  <c:v>1.2290000000000001</c:v>
                </c:pt>
                <c:pt idx="7">
                  <c:v>1.2316</c:v>
                </c:pt>
                <c:pt idx="8">
                  <c:v>1.1380999999999999</c:v>
                </c:pt>
                <c:pt idx="9">
                  <c:v>1.1394</c:v>
                </c:pt>
                <c:pt idx="10">
                  <c:v>1.1407</c:v>
                </c:pt>
                <c:pt idx="11">
                  <c:v>1.1419999999999999</c:v>
                </c:pt>
                <c:pt idx="12">
                  <c:v>1.0707</c:v>
                </c:pt>
                <c:pt idx="13">
                  <c:v>1.0711999999999999</c:v>
                </c:pt>
                <c:pt idx="14">
                  <c:v>1.0716000000000001</c:v>
                </c:pt>
                <c:pt idx="15">
                  <c:v>1.0721000000000001</c:v>
                </c:pt>
                <c:pt idx="16">
                  <c:v>1.1044</c:v>
                </c:pt>
                <c:pt idx="17">
                  <c:v>1.1052999999999999</c:v>
                </c:pt>
                <c:pt idx="18">
                  <c:v>1.1061000000000001</c:v>
                </c:pt>
                <c:pt idx="19">
                  <c:v>1.1069</c:v>
                </c:pt>
                <c:pt idx="20">
                  <c:v>1.0355000000000001</c:v>
                </c:pt>
                <c:pt idx="21">
                  <c:v>1.0355000000000001</c:v>
                </c:pt>
                <c:pt idx="22">
                  <c:v>1.0356000000000001</c:v>
                </c:pt>
                <c:pt idx="23">
                  <c:v>1.0357000000000001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E-4AC8-B458-4F7B3FC8B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712591"/>
        <c:axId val="355709231"/>
      </c:lineChart>
      <c:catAx>
        <c:axId val="35571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55709231"/>
        <c:crosses val="autoZero"/>
        <c:auto val="1"/>
        <c:lblAlgn val="ctr"/>
        <c:lblOffset val="100"/>
        <c:tickLblSkip val="1"/>
        <c:noMultiLvlLbl val="0"/>
      </c:catAx>
      <c:valAx>
        <c:axId val="355709231"/>
        <c:scaling>
          <c:orientation val="minMax"/>
          <c:max val="1.3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5571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Bitcoin (in 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Real Price</c:v>
          </c:tx>
          <c:spPr>
            <a:ln w="76200" cap="rnd">
              <a:solidFill>
                <a:srgbClr val="22BDFF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'ARIMA FINAL'!$E$3:$E$26</c:f>
              <c:numCache>
                <c:formatCode>0.00</c:formatCode>
                <c:ptCount val="24"/>
                <c:pt idx="0">
                  <c:v>6638.5</c:v>
                </c:pt>
                <c:pt idx="1">
                  <c:v>9229.9</c:v>
                </c:pt>
                <c:pt idx="2">
                  <c:v>10620.5</c:v>
                </c:pt>
                <c:pt idx="3">
                  <c:v>29359.9</c:v>
                </c:pt>
                <c:pt idx="4">
                  <c:v>58718.3</c:v>
                </c:pt>
                <c:pt idx="5">
                  <c:v>33543.599999999999</c:v>
                </c:pt>
                <c:pt idx="6">
                  <c:v>48146</c:v>
                </c:pt>
                <c:pt idx="7">
                  <c:v>47738</c:v>
                </c:pt>
                <c:pt idx="8">
                  <c:v>46297</c:v>
                </c:pt>
                <c:pt idx="9">
                  <c:v>19262.900000000001</c:v>
                </c:pt>
                <c:pt idx="10">
                  <c:v>19311.900000000001</c:v>
                </c:pt>
                <c:pt idx="11">
                  <c:v>16618.400000000001</c:v>
                </c:pt>
                <c:pt idx="12">
                  <c:v>28456.1</c:v>
                </c:pt>
                <c:pt idx="13">
                  <c:v>30586.799999999999</c:v>
                </c:pt>
                <c:pt idx="14">
                  <c:v>27974.5</c:v>
                </c:pt>
                <c:pt idx="15">
                  <c:v>44183.4</c:v>
                </c:pt>
                <c:pt idx="16">
                  <c:v>69664.399999999994</c:v>
                </c:pt>
                <c:pt idx="17">
                  <c:v>62890.1</c:v>
                </c:pt>
                <c:pt idx="18">
                  <c:v>60835.5</c:v>
                </c:pt>
                <c:pt idx="19">
                  <c:v>94560.2</c:v>
                </c:pt>
                <c:pt idx="20">
                  <c:v>85164.2</c:v>
                </c:pt>
                <c:pt idx="21">
                  <c:v>105694.3</c:v>
                </c:pt>
                <c:pt idx="22">
                  <c:v>118576.2</c:v>
                </c:pt>
                <c:pt idx="23">
                  <c:v>88812.1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D1-42CF-B3DC-C61EBE11E07D}"/>
            </c:ext>
          </c:extLst>
        </c:ser>
        <c:ser>
          <c:idx val="1"/>
          <c:order val="1"/>
          <c:tx>
            <c:v>ARIMA Monthly</c:v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'ARIMA FINAL'!$D$3:$D$26</c:f>
              <c:numCache>
                <c:formatCode>0.00</c:formatCode>
                <c:ptCount val="24"/>
                <c:pt idx="0">
                  <c:v>9391.84</c:v>
                </c:pt>
                <c:pt idx="1">
                  <c:v>11290.93</c:v>
                </c:pt>
                <c:pt idx="2">
                  <c:v>13131.78</c:v>
                </c:pt>
                <c:pt idx="3">
                  <c:v>20641.349999999999</c:v>
                </c:pt>
                <c:pt idx="4">
                  <c:v>55013.8</c:v>
                </c:pt>
                <c:pt idx="5">
                  <c:v>39736.269999999997</c:v>
                </c:pt>
                <c:pt idx="6">
                  <c:v>54077.78</c:v>
                </c:pt>
                <c:pt idx="7">
                  <c:v>63506.04</c:v>
                </c:pt>
                <c:pt idx="8">
                  <c:v>48824.97</c:v>
                </c:pt>
                <c:pt idx="9">
                  <c:v>32598.09</c:v>
                </c:pt>
                <c:pt idx="10">
                  <c:v>21972.720000000001</c:v>
                </c:pt>
                <c:pt idx="11">
                  <c:v>18384.73</c:v>
                </c:pt>
                <c:pt idx="12">
                  <c:v>25797.06</c:v>
                </c:pt>
                <c:pt idx="13">
                  <c:v>29263.66</c:v>
                </c:pt>
                <c:pt idx="14">
                  <c:v>28256.46</c:v>
                </c:pt>
                <c:pt idx="15">
                  <c:v>42074.9</c:v>
                </c:pt>
                <c:pt idx="16">
                  <c:v>68589.429999999993</c:v>
                </c:pt>
                <c:pt idx="17">
                  <c:v>73345.210000000006</c:v>
                </c:pt>
                <c:pt idx="18">
                  <c:v>61933.52</c:v>
                </c:pt>
                <c:pt idx="19">
                  <c:v>106284.36</c:v>
                </c:pt>
                <c:pt idx="20">
                  <c:v>92378.85</c:v>
                </c:pt>
                <c:pt idx="21">
                  <c:v>113839.89</c:v>
                </c:pt>
                <c:pt idx="22">
                  <c:v>117847.47</c:v>
                </c:pt>
                <c:pt idx="23">
                  <c:v>93312.15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D1-42CF-B3DC-C61EBE11E07D}"/>
            </c:ext>
          </c:extLst>
        </c:ser>
        <c:ser>
          <c:idx val="2"/>
          <c:order val="2"/>
          <c:tx>
            <c:v>ARIMA Static</c:v>
          </c:tx>
          <c:spPr>
            <a:ln w="444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'ARIMA FINAL'!$X$3:$X$26</c:f>
              <c:numCache>
                <c:formatCode>0.00</c:formatCode>
                <c:ptCount val="24"/>
                <c:pt idx="0">
                  <c:v>9730.02</c:v>
                </c:pt>
                <c:pt idx="1">
                  <c:v>13061.99</c:v>
                </c:pt>
                <c:pt idx="2">
                  <c:v>17591.79</c:v>
                </c:pt>
                <c:pt idx="3">
                  <c:v>23692.5</c:v>
                </c:pt>
                <c:pt idx="4">
                  <c:v>39029.660000000003</c:v>
                </c:pt>
                <c:pt idx="5">
                  <c:v>52653.22</c:v>
                </c:pt>
                <c:pt idx="6">
                  <c:v>71266.28</c:v>
                </c:pt>
                <c:pt idx="7">
                  <c:v>96459.09</c:v>
                </c:pt>
                <c:pt idx="8">
                  <c:v>60771.79</c:v>
                </c:pt>
                <c:pt idx="9">
                  <c:v>80681.100000000006</c:v>
                </c:pt>
                <c:pt idx="10">
                  <c:v>107446.94</c:v>
                </c:pt>
                <c:pt idx="11">
                  <c:v>143092.29999999999</c:v>
                </c:pt>
                <c:pt idx="12">
                  <c:v>21000.880000000001</c:v>
                </c:pt>
                <c:pt idx="13">
                  <c:v>26698.63</c:v>
                </c:pt>
                <c:pt idx="14">
                  <c:v>34031.879999999997</c:v>
                </c:pt>
                <c:pt idx="15">
                  <c:v>43379.35</c:v>
                </c:pt>
                <c:pt idx="16">
                  <c:v>53703.54</c:v>
                </c:pt>
                <c:pt idx="17">
                  <c:v>68239.16</c:v>
                </c:pt>
                <c:pt idx="18">
                  <c:v>89637.59</c:v>
                </c:pt>
                <c:pt idx="19">
                  <c:v>110759.65</c:v>
                </c:pt>
                <c:pt idx="20">
                  <c:v>118317.12</c:v>
                </c:pt>
                <c:pt idx="21">
                  <c:v>149940.38</c:v>
                </c:pt>
                <c:pt idx="22">
                  <c:v>190511</c:v>
                </c:pt>
                <c:pt idx="23">
                  <c:v>242059.16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D1-42CF-B3DC-C61EBE11E07D}"/>
            </c:ext>
          </c:extLst>
        </c:ser>
        <c:ser>
          <c:idx val="3"/>
          <c:order val="3"/>
          <c:tx>
            <c:v>RW Monthly</c:v>
          </c:tx>
          <c:spPr>
            <a:ln w="19050" cap="rnd">
              <a:solidFill>
                <a:srgbClr val="66FF33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'RANDOM WALK'!$C$3:$C$26</c:f>
              <c:numCache>
                <c:formatCode>0.00</c:formatCode>
                <c:ptCount val="24"/>
                <c:pt idx="0">
                  <c:v>9470.8799999999992</c:v>
                </c:pt>
                <c:pt idx="1">
                  <c:v>11239.97</c:v>
                </c:pt>
                <c:pt idx="2">
                  <c:v>13121.52</c:v>
                </c:pt>
                <c:pt idx="3">
                  <c:v>20779.330000000002</c:v>
                </c:pt>
                <c:pt idx="4">
                  <c:v>55212</c:v>
                </c:pt>
                <c:pt idx="5">
                  <c:v>40520.19</c:v>
                </c:pt>
                <c:pt idx="6">
                  <c:v>53939.81</c:v>
                </c:pt>
                <c:pt idx="7">
                  <c:v>63307.83</c:v>
                </c:pt>
                <c:pt idx="8">
                  <c:v>48975.48</c:v>
                </c:pt>
                <c:pt idx="9">
                  <c:v>32603.49</c:v>
                </c:pt>
                <c:pt idx="10">
                  <c:v>21925.11</c:v>
                </c:pt>
                <c:pt idx="11">
                  <c:v>18488.169999999998</c:v>
                </c:pt>
                <c:pt idx="12">
                  <c:v>25755.1</c:v>
                </c:pt>
                <c:pt idx="13">
                  <c:v>29127.05</c:v>
                </c:pt>
                <c:pt idx="14">
                  <c:v>27971.13</c:v>
                </c:pt>
                <c:pt idx="15">
                  <c:v>42073.29</c:v>
                </c:pt>
                <c:pt idx="16">
                  <c:v>67960.210000000006</c:v>
                </c:pt>
                <c:pt idx="17">
                  <c:v>73561.66</c:v>
                </c:pt>
                <c:pt idx="18">
                  <c:v>62077.120000000003</c:v>
                </c:pt>
                <c:pt idx="19">
                  <c:v>105770.23</c:v>
                </c:pt>
                <c:pt idx="20">
                  <c:v>93413.73</c:v>
                </c:pt>
                <c:pt idx="21">
                  <c:v>114295.65</c:v>
                </c:pt>
                <c:pt idx="22">
                  <c:v>118088.85</c:v>
                </c:pt>
                <c:pt idx="23">
                  <c:v>93289.99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D1-42CF-B3DC-C61EBE11E07D}"/>
            </c:ext>
          </c:extLst>
        </c:ser>
        <c:ser>
          <c:idx val="4"/>
          <c:order val="4"/>
          <c:tx>
            <c:v>RW Static</c:v>
          </c:tx>
          <c:spPr>
            <a:ln w="19050" cap="rnd">
              <a:solidFill>
                <a:srgbClr val="66FF33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'RANDOM WALK'!$R$3:$R$26</c:f>
              <c:numCache>
                <c:formatCode>0.00</c:formatCode>
                <c:ptCount val="24"/>
                <c:pt idx="0">
                  <c:v>9694.51</c:v>
                </c:pt>
                <c:pt idx="1">
                  <c:v>13017.56</c:v>
                </c:pt>
                <c:pt idx="2">
                  <c:v>17536.39</c:v>
                </c:pt>
                <c:pt idx="3">
                  <c:v>23623.86</c:v>
                </c:pt>
                <c:pt idx="4">
                  <c:v>39064.36</c:v>
                </c:pt>
                <c:pt idx="5">
                  <c:v>52713.51</c:v>
                </c:pt>
                <c:pt idx="6">
                  <c:v>71366.31</c:v>
                </c:pt>
                <c:pt idx="7">
                  <c:v>96619.45</c:v>
                </c:pt>
                <c:pt idx="8">
                  <c:v>61380.79</c:v>
                </c:pt>
                <c:pt idx="9">
                  <c:v>81515.41</c:v>
                </c:pt>
                <c:pt idx="10">
                  <c:v>108592.77</c:v>
                </c:pt>
                <c:pt idx="11">
                  <c:v>144664.53</c:v>
                </c:pt>
                <c:pt idx="12">
                  <c:v>21030.98</c:v>
                </c:pt>
                <c:pt idx="13">
                  <c:v>26745.57</c:v>
                </c:pt>
                <c:pt idx="14">
                  <c:v>34102.9</c:v>
                </c:pt>
                <c:pt idx="15">
                  <c:v>43484.12</c:v>
                </c:pt>
                <c:pt idx="16">
                  <c:v>53875.22</c:v>
                </c:pt>
                <c:pt idx="17">
                  <c:v>68481.83</c:v>
                </c:pt>
                <c:pt idx="18">
                  <c:v>87278.35</c:v>
                </c:pt>
                <c:pt idx="19">
                  <c:v>111234.03</c:v>
                </c:pt>
                <c:pt idx="20">
                  <c:v>118573.55</c:v>
                </c:pt>
                <c:pt idx="21">
                  <c:v>150279.04999999999</c:v>
                </c:pt>
                <c:pt idx="22">
                  <c:v>190958.91</c:v>
                </c:pt>
                <c:pt idx="23">
                  <c:v>242650.63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D1-42CF-B3DC-C61EBE11E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46367"/>
        <c:axId val="172143967"/>
      </c:lineChart>
      <c:catAx>
        <c:axId val="1721463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143967"/>
        <c:crosses val="autoZero"/>
        <c:auto val="1"/>
        <c:lblAlgn val="ctr"/>
        <c:lblOffset val="100"/>
        <c:noMultiLvlLbl val="0"/>
      </c:catAx>
      <c:valAx>
        <c:axId val="172143967"/>
        <c:scaling>
          <c:orientation val="minMax"/>
          <c:max val="2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14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70578327108019E-2"/>
          <c:y val="0.91417329731709718"/>
          <c:w val="0.91910735719392089"/>
          <c:h val="6.8472728141415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S&amp;P 500 (in 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Real Price</c:v>
          </c:tx>
          <c:spPr>
            <a:ln w="76200" cap="rnd">
              <a:solidFill>
                <a:srgbClr val="22BDFF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'ARIMA FINAL'!$I$3:$I$26</c:f>
              <c:numCache>
                <c:formatCode>0.00</c:formatCode>
                <c:ptCount val="24"/>
                <c:pt idx="0">
                  <c:v>2470.5</c:v>
                </c:pt>
                <c:pt idx="1">
                  <c:v>3115.9</c:v>
                </c:pt>
                <c:pt idx="2">
                  <c:v>3380.8</c:v>
                </c:pt>
                <c:pt idx="3">
                  <c:v>3756.1</c:v>
                </c:pt>
                <c:pt idx="4">
                  <c:v>4019.9</c:v>
                </c:pt>
                <c:pt idx="5">
                  <c:v>4319.8999999999996</c:v>
                </c:pt>
                <c:pt idx="6">
                  <c:v>4357</c:v>
                </c:pt>
                <c:pt idx="7">
                  <c:v>4766.2</c:v>
                </c:pt>
                <c:pt idx="8">
                  <c:v>4545.8599999999997</c:v>
                </c:pt>
                <c:pt idx="9">
                  <c:v>3825.33</c:v>
                </c:pt>
                <c:pt idx="10">
                  <c:v>3585.62</c:v>
                </c:pt>
                <c:pt idx="11">
                  <c:v>3839.5</c:v>
                </c:pt>
                <c:pt idx="12">
                  <c:v>4109.3100000000004</c:v>
                </c:pt>
                <c:pt idx="13">
                  <c:v>4450.38</c:v>
                </c:pt>
                <c:pt idx="14">
                  <c:v>4288.05</c:v>
                </c:pt>
                <c:pt idx="15">
                  <c:v>4769.83</c:v>
                </c:pt>
                <c:pt idx="16">
                  <c:v>5243.77</c:v>
                </c:pt>
                <c:pt idx="17">
                  <c:v>5475.09</c:v>
                </c:pt>
                <c:pt idx="18">
                  <c:v>5708.75</c:v>
                </c:pt>
                <c:pt idx="19">
                  <c:v>5881.63</c:v>
                </c:pt>
                <c:pt idx="20">
                  <c:v>5633.07</c:v>
                </c:pt>
                <c:pt idx="21">
                  <c:v>6198.01</c:v>
                </c:pt>
                <c:pt idx="22">
                  <c:v>6711.2</c:v>
                </c:pt>
                <c:pt idx="23">
                  <c:v>6845.5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28-4431-B54A-8F2FADE0F0CE}"/>
            </c:ext>
          </c:extLst>
        </c:ser>
        <c:ser>
          <c:idx val="1"/>
          <c:order val="1"/>
          <c:tx>
            <c:v>ARIMA Monthly</c:v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'ARIMA FINAL'!$H$3:$H$26</c:f>
              <c:numCache>
                <c:formatCode>0.00</c:formatCode>
                <c:ptCount val="24"/>
                <c:pt idx="0">
                  <c:v>2963.33</c:v>
                </c:pt>
                <c:pt idx="1">
                  <c:v>3066.07</c:v>
                </c:pt>
                <c:pt idx="2">
                  <c:v>3541.19</c:v>
                </c:pt>
                <c:pt idx="3">
                  <c:v>3678.92</c:v>
                </c:pt>
                <c:pt idx="4">
                  <c:v>3917.18</c:v>
                </c:pt>
                <c:pt idx="5">
                  <c:v>4218.92</c:v>
                </c:pt>
                <c:pt idx="6">
                  <c:v>4543.91</c:v>
                </c:pt>
                <c:pt idx="7">
                  <c:v>4540.7299999999996</c:v>
                </c:pt>
                <c:pt idx="8">
                  <c:v>4325.97</c:v>
                </c:pt>
                <c:pt idx="9">
                  <c:v>4120.01</c:v>
                </c:pt>
                <c:pt idx="10">
                  <c:v>3984.72</c:v>
                </c:pt>
                <c:pt idx="11">
                  <c:v>4081.67</c:v>
                </c:pt>
                <c:pt idx="12">
                  <c:v>3967.4</c:v>
                </c:pt>
                <c:pt idx="13">
                  <c:v>4239.49</c:v>
                </c:pt>
                <c:pt idx="14">
                  <c:v>4534.6400000000003</c:v>
                </c:pt>
                <c:pt idx="15">
                  <c:v>4612.05</c:v>
                </c:pt>
                <c:pt idx="16">
                  <c:v>5157.96</c:v>
                </c:pt>
                <c:pt idx="17">
                  <c:v>5297.3</c:v>
                </c:pt>
                <c:pt idx="18">
                  <c:v>5674.85</c:v>
                </c:pt>
                <c:pt idx="19">
                  <c:v>6062.78</c:v>
                </c:pt>
                <c:pt idx="20">
                  <c:v>5975.76</c:v>
                </c:pt>
                <c:pt idx="21">
                  <c:v>5939.33</c:v>
                </c:pt>
                <c:pt idx="22">
                  <c:v>6492.46</c:v>
                </c:pt>
                <c:pt idx="23">
                  <c:v>6848.63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28-4431-B54A-8F2FADE0F0CE}"/>
            </c:ext>
          </c:extLst>
        </c:ser>
        <c:ser>
          <c:idx val="2"/>
          <c:order val="2"/>
          <c:tx>
            <c:v>ARIMA Static</c:v>
          </c:tx>
          <c:spPr>
            <a:ln w="444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'ARIMA FINAL'!$AD$3:$AD$26</c:f>
              <c:numCache>
                <c:formatCode>0.00</c:formatCode>
                <c:ptCount val="24"/>
                <c:pt idx="0">
                  <c:v>3262.74</c:v>
                </c:pt>
                <c:pt idx="1">
                  <c:v>3295.34</c:v>
                </c:pt>
                <c:pt idx="2">
                  <c:v>3328.62</c:v>
                </c:pt>
                <c:pt idx="3">
                  <c:v>3362.24</c:v>
                </c:pt>
                <c:pt idx="4">
                  <c:v>3796.32</c:v>
                </c:pt>
                <c:pt idx="5">
                  <c:v>3839.28</c:v>
                </c:pt>
                <c:pt idx="6">
                  <c:v>3883.21</c:v>
                </c:pt>
                <c:pt idx="7">
                  <c:v>3927.64</c:v>
                </c:pt>
                <c:pt idx="8">
                  <c:v>4831.95</c:v>
                </c:pt>
                <c:pt idx="9">
                  <c:v>4897.33</c:v>
                </c:pt>
                <c:pt idx="10">
                  <c:v>4964.32</c:v>
                </c:pt>
                <c:pt idx="11">
                  <c:v>5032.24</c:v>
                </c:pt>
                <c:pt idx="12">
                  <c:v>3880.12</c:v>
                </c:pt>
                <c:pt idx="13">
                  <c:v>3921.12</c:v>
                </c:pt>
                <c:pt idx="14">
                  <c:v>3963.02</c:v>
                </c:pt>
                <c:pt idx="15">
                  <c:v>4005.37</c:v>
                </c:pt>
                <c:pt idx="16">
                  <c:v>4829.71</c:v>
                </c:pt>
                <c:pt idx="17">
                  <c:v>4889.62</c:v>
                </c:pt>
                <c:pt idx="18">
                  <c:v>4950.9399999999996</c:v>
                </c:pt>
                <c:pt idx="19">
                  <c:v>5013.04</c:v>
                </c:pt>
                <c:pt idx="20">
                  <c:v>5966.37</c:v>
                </c:pt>
                <c:pt idx="21">
                  <c:v>6050.02</c:v>
                </c:pt>
                <c:pt idx="22">
                  <c:v>6135.78</c:v>
                </c:pt>
                <c:pt idx="23">
                  <c:v>6222.76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28-4431-B54A-8F2FADE0F0CE}"/>
            </c:ext>
          </c:extLst>
        </c:ser>
        <c:ser>
          <c:idx val="3"/>
          <c:order val="3"/>
          <c:tx>
            <c:v>RW Monthly</c:v>
          </c:tx>
          <c:spPr>
            <a:ln w="19050" cap="rnd">
              <a:solidFill>
                <a:srgbClr val="66FF33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'RANDOM WALK'!$F$3:$F$26</c:f>
              <c:numCache>
                <c:formatCode>0.00</c:formatCode>
                <c:ptCount val="24"/>
                <c:pt idx="0">
                  <c:v>2963.31</c:v>
                </c:pt>
                <c:pt idx="1">
                  <c:v>3066.04</c:v>
                </c:pt>
                <c:pt idx="2">
                  <c:v>3540.4</c:v>
                </c:pt>
                <c:pt idx="3">
                  <c:v>3677.24</c:v>
                </c:pt>
                <c:pt idx="4">
                  <c:v>3917.13</c:v>
                </c:pt>
                <c:pt idx="5">
                  <c:v>4218.87</c:v>
                </c:pt>
                <c:pt idx="6">
                  <c:v>4543.2700000000004</c:v>
                </c:pt>
                <c:pt idx="7">
                  <c:v>4532.46</c:v>
                </c:pt>
                <c:pt idx="8">
                  <c:v>4324.93</c:v>
                </c:pt>
                <c:pt idx="9">
                  <c:v>4117.57</c:v>
                </c:pt>
                <c:pt idx="10">
                  <c:v>3981.83</c:v>
                </c:pt>
                <c:pt idx="11">
                  <c:v>4092.8</c:v>
                </c:pt>
                <c:pt idx="12">
                  <c:v>3966.27</c:v>
                </c:pt>
                <c:pt idx="13">
                  <c:v>4237.13</c:v>
                </c:pt>
                <c:pt idx="14">
                  <c:v>4533.9399999999996</c:v>
                </c:pt>
                <c:pt idx="15">
                  <c:v>4613.54</c:v>
                </c:pt>
                <c:pt idx="16">
                  <c:v>5160.26</c:v>
                </c:pt>
                <c:pt idx="17">
                  <c:v>5300.94</c:v>
                </c:pt>
                <c:pt idx="18">
                  <c:v>5674.78</c:v>
                </c:pt>
                <c:pt idx="19">
                  <c:v>6062.69</c:v>
                </c:pt>
                <c:pt idx="20">
                  <c:v>5983.8</c:v>
                </c:pt>
                <c:pt idx="21">
                  <c:v>5939.25</c:v>
                </c:pt>
                <c:pt idx="22">
                  <c:v>6492.37</c:v>
                </c:pt>
                <c:pt idx="23">
                  <c:v>6848.54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28-4431-B54A-8F2FADE0F0CE}"/>
            </c:ext>
          </c:extLst>
        </c:ser>
        <c:ser>
          <c:idx val="4"/>
          <c:order val="4"/>
          <c:tx>
            <c:v>RW Static</c:v>
          </c:tx>
          <c:spPr>
            <a:ln w="19050" cap="rnd">
              <a:solidFill>
                <a:srgbClr val="66FF33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'RANDOM WALK'!$V$3:$V$26</c:f>
              <c:numCache>
                <c:formatCode>0.00</c:formatCode>
                <c:ptCount val="24"/>
                <c:pt idx="0">
                  <c:v>3263.43</c:v>
                </c:pt>
                <c:pt idx="1">
                  <c:v>3296.03</c:v>
                </c:pt>
                <c:pt idx="2">
                  <c:v>3329.32</c:v>
                </c:pt>
                <c:pt idx="3">
                  <c:v>3362.94</c:v>
                </c:pt>
                <c:pt idx="4">
                  <c:v>3798.61</c:v>
                </c:pt>
                <c:pt idx="5">
                  <c:v>3841.59</c:v>
                </c:pt>
                <c:pt idx="6">
                  <c:v>3885.55</c:v>
                </c:pt>
                <c:pt idx="7">
                  <c:v>3930.01</c:v>
                </c:pt>
                <c:pt idx="8">
                  <c:v>4830.6899999999996</c:v>
                </c:pt>
                <c:pt idx="9">
                  <c:v>4896.05</c:v>
                </c:pt>
                <c:pt idx="10">
                  <c:v>4963.03</c:v>
                </c:pt>
                <c:pt idx="11">
                  <c:v>5030.93</c:v>
                </c:pt>
                <c:pt idx="12">
                  <c:v>3880.08</c:v>
                </c:pt>
                <c:pt idx="13">
                  <c:v>3921.08</c:v>
                </c:pt>
                <c:pt idx="14">
                  <c:v>3962.98</c:v>
                </c:pt>
                <c:pt idx="15">
                  <c:v>4005.33</c:v>
                </c:pt>
                <c:pt idx="16">
                  <c:v>4829.6499999999996</c:v>
                </c:pt>
                <c:pt idx="17">
                  <c:v>4889.5600000000004</c:v>
                </c:pt>
                <c:pt idx="18">
                  <c:v>4950.88</c:v>
                </c:pt>
                <c:pt idx="19">
                  <c:v>5012.9799999999996</c:v>
                </c:pt>
                <c:pt idx="20">
                  <c:v>5964.09</c:v>
                </c:pt>
                <c:pt idx="21">
                  <c:v>6047.71</c:v>
                </c:pt>
                <c:pt idx="22">
                  <c:v>6133.43</c:v>
                </c:pt>
                <c:pt idx="23">
                  <c:v>6220.37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28-4431-B54A-8F2FADE0F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46367"/>
        <c:axId val="172143967"/>
      </c:lineChart>
      <c:catAx>
        <c:axId val="1721463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143967"/>
        <c:crosses val="autoZero"/>
        <c:auto val="1"/>
        <c:lblAlgn val="ctr"/>
        <c:lblOffset val="100"/>
        <c:noMultiLvlLbl val="0"/>
      </c:catAx>
      <c:valAx>
        <c:axId val="172143967"/>
        <c:scaling>
          <c:orientation val="minMax"/>
          <c:max val="7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14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Gold (in 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Real Price</c:v>
          </c:tx>
          <c:spPr>
            <a:ln w="76200" cap="rnd">
              <a:solidFill>
                <a:srgbClr val="22BDFF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'ARIMA FINAL'!$M$3:$M$26</c:f>
              <c:numCache>
                <c:formatCode>0.00</c:formatCode>
                <c:ptCount val="24"/>
                <c:pt idx="0">
                  <c:v>1584.1</c:v>
                </c:pt>
                <c:pt idx="1">
                  <c:v>1779.9</c:v>
                </c:pt>
                <c:pt idx="2">
                  <c:v>1912.3</c:v>
                </c:pt>
                <c:pt idx="3">
                  <c:v>1895.1</c:v>
                </c:pt>
                <c:pt idx="4">
                  <c:v>1727.3</c:v>
                </c:pt>
                <c:pt idx="5">
                  <c:v>1776.8</c:v>
                </c:pt>
                <c:pt idx="6">
                  <c:v>1757.7</c:v>
                </c:pt>
                <c:pt idx="7">
                  <c:v>1828.6</c:v>
                </c:pt>
                <c:pt idx="8">
                  <c:v>1951.1</c:v>
                </c:pt>
                <c:pt idx="9">
                  <c:v>1807.3</c:v>
                </c:pt>
                <c:pt idx="10">
                  <c:v>1663.6</c:v>
                </c:pt>
                <c:pt idx="11">
                  <c:v>1826</c:v>
                </c:pt>
                <c:pt idx="12">
                  <c:v>1988.5</c:v>
                </c:pt>
                <c:pt idx="13">
                  <c:v>1917.9</c:v>
                </c:pt>
                <c:pt idx="14">
                  <c:v>1869.5</c:v>
                </c:pt>
                <c:pt idx="15">
                  <c:v>2083.5</c:v>
                </c:pt>
                <c:pt idx="16">
                  <c:v>2245.9</c:v>
                </c:pt>
                <c:pt idx="17">
                  <c:v>2338.9</c:v>
                </c:pt>
                <c:pt idx="18">
                  <c:v>2678.5</c:v>
                </c:pt>
                <c:pt idx="19">
                  <c:v>2618.1</c:v>
                </c:pt>
                <c:pt idx="20">
                  <c:v>3146</c:v>
                </c:pt>
                <c:pt idx="21">
                  <c:v>3349.8</c:v>
                </c:pt>
                <c:pt idx="22">
                  <c:v>3897.5</c:v>
                </c:pt>
                <c:pt idx="23">
                  <c:v>4361.55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5-404A-A71D-F0E200FB6CAF}"/>
            </c:ext>
          </c:extLst>
        </c:ser>
        <c:ser>
          <c:idx val="1"/>
          <c:order val="1"/>
          <c:tx>
            <c:v>ARIMA Monthly</c:v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'ARIMA FINAL'!$L$3:$L$26</c:f>
              <c:numCache>
                <c:formatCode>0.00</c:formatCode>
                <c:ptCount val="24"/>
                <c:pt idx="0">
                  <c:v>1578.39</c:v>
                </c:pt>
                <c:pt idx="1">
                  <c:v>1756.52</c:v>
                </c:pt>
                <c:pt idx="2">
                  <c:v>1986.62</c:v>
                </c:pt>
                <c:pt idx="3">
                  <c:v>1830.74</c:v>
                </c:pt>
                <c:pt idx="4">
                  <c:v>1735.9</c:v>
                </c:pt>
                <c:pt idx="5">
                  <c:v>1918.05</c:v>
                </c:pt>
                <c:pt idx="6">
                  <c:v>1826.88</c:v>
                </c:pt>
                <c:pt idx="7">
                  <c:v>1796.12</c:v>
                </c:pt>
                <c:pt idx="8">
                  <c:v>1958.8</c:v>
                </c:pt>
                <c:pt idx="9">
                  <c:v>1858.81</c:v>
                </c:pt>
                <c:pt idx="10">
                  <c:v>1711.01</c:v>
                </c:pt>
                <c:pt idx="11">
                  <c:v>1820.68</c:v>
                </c:pt>
                <c:pt idx="12">
                  <c:v>1858.35</c:v>
                </c:pt>
                <c:pt idx="13">
                  <c:v>2000.46</c:v>
                </c:pt>
                <c:pt idx="14">
                  <c:v>1960.68</c:v>
                </c:pt>
                <c:pt idx="15">
                  <c:v>2062.7399999999998</c:v>
                </c:pt>
                <c:pt idx="16">
                  <c:v>2069.34</c:v>
                </c:pt>
                <c:pt idx="17">
                  <c:v>2371.9</c:v>
                </c:pt>
                <c:pt idx="18">
                  <c:v>2555.67</c:v>
                </c:pt>
                <c:pt idx="19">
                  <c:v>2672.89</c:v>
                </c:pt>
                <c:pt idx="20">
                  <c:v>2919.44</c:v>
                </c:pt>
                <c:pt idx="21">
                  <c:v>3371.95</c:v>
                </c:pt>
                <c:pt idx="22">
                  <c:v>3541.19</c:v>
                </c:pt>
                <c:pt idx="23">
                  <c:v>4314.18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C5-404A-A71D-F0E200FB6CAF}"/>
            </c:ext>
          </c:extLst>
        </c:ser>
        <c:ser>
          <c:idx val="2"/>
          <c:order val="2"/>
          <c:tx>
            <c:v>ARIMA Static</c:v>
          </c:tx>
          <c:spPr>
            <a:ln w="444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'ARIMA FINAL'!$AJ$3:$AJ$26</c:f>
              <c:numCache>
                <c:formatCode>0.00</c:formatCode>
                <c:ptCount val="24"/>
                <c:pt idx="0">
                  <c:v>1555.7</c:v>
                </c:pt>
                <c:pt idx="1">
                  <c:v>1588.63</c:v>
                </c:pt>
                <c:pt idx="2">
                  <c:v>1622.64</c:v>
                </c:pt>
                <c:pt idx="3">
                  <c:v>1657.37</c:v>
                </c:pt>
                <c:pt idx="4">
                  <c:v>1938.29</c:v>
                </c:pt>
                <c:pt idx="5">
                  <c:v>1982.47</c:v>
                </c:pt>
                <c:pt idx="6">
                  <c:v>2028.17</c:v>
                </c:pt>
                <c:pt idx="7">
                  <c:v>2074.92</c:v>
                </c:pt>
                <c:pt idx="8">
                  <c:v>1867.42</c:v>
                </c:pt>
                <c:pt idx="9">
                  <c:v>1907.26</c:v>
                </c:pt>
                <c:pt idx="10">
                  <c:v>1948.41</c:v>
                </c:pt>
                <c:pt idx="11">
                  <c:v>1990.44</c:v>
                </c:pt>
                <c:pt idx="12">
                  <c:v>1863.23</c:v>
                </c:pt>
                <c:pt idx="13">
                  <c:v>1901.2</c:v>
                </c:pt>
                <c:pt idx="14">
                  <c:v>1940.39</c:v>
                </c:pt>
                <c:pt idx="15">
                  <c:v>1980.38</c:v>
                </c:pt>
                <c:pt idx="16">
                  <c:v>2127.59</c:v>
                </c:pt>
                <c:pt idx="17">
                  <c:v>2172.1</c:v>
                </c:pt>
                <c:pt idx="18">
                  <c:v>2218.06</c:v>
                </c:pt>
                <c:pt idx="19">
                  <c:v>2264.98</c:v>
                </c:pt>
                <c:pt idx="20">
                  <c:v>2676.76</c:v>
                </c:pt>
                <c:pt idx="21">
                  <c:v>2736.72</c:v>
                </c:pt>
                <c:pt idx="22">
                  <c:v>2798.71</c:v>
                </c:pt>
                <c:pt idx="23">
                  <c:v>2862.11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C5-404A-A71D-F0E200FB6CAF}"/>
            </c:ext>
          </c:extLst>
        </c:ser>
        <c:ser>
          <c:idx val="3"/>
          <c:order val="3"/>
          <c:tx>
            <c:v>RW Monthly</c:v>
          </c:tx>
          <c:spPr>
            <a:ln w="19050" cap="rnd">
              <a:solidFill>
                <a:srgbClr val="66FF33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'RANDOM WALK'!$I$3:$I$26</c:f>
              <c:numCache>
                <c:formatCode>0.00</c:formatCode>
                <c:ptCount val="24"/>
                <c:pt idx="0">
                  <c:v>1578.38</c:v>
                </c:pt>
                <c:pt idx="1">
                  <c:v>1756.52</c:v>
                </c:pt>
                <c:pt idx="2">
                  <c:v>1986.66</c:v>
                </c:pt>
                <c:pt idx="3">
                  <c:v>1830.64</c:v>
                </c:pt>
                <c:pt idx="4">
                  <c:v>1735.9</c:v>
                </c:pt>
                <c:pt idx="5">
                  <c:v>1918.05</c:v>
                </c:pt>
                <c:pt idx="6">
                  <c:v>1826.96</c:v>
                </c:pt>
                <c:pt idx="7">
                  <c:v>1796</c:v>
                </c:pt>
                <c:pt idx="8">
                  <c:v>1958.46</c:v>
                </c:pt>
                <c:pt idx="9">
                  <c:v>1858.77</c:v>
                </c:pt>
                <c:pt idx="10">
                  <c:v>1710.88</c:v>
                </c:pt>
                <c:pt idx="11">
                  <c:v>1820.64</c:v>
                </c:pt>
                <c:pt idx="12">
                  <c:v>1858.5</c:v>
                </c:pt>
                <c:pt idx="13">
                  <c:v>2000.53</c:v>
                </c:pt>
                <c:pt idx="14">
                  <c:v>1960.57</c:v>
                </c:pt>
                <c:pt idx="15">
                  <c:v>2062.59</c:v>
                </c:pt>
                <c:pt idx="16">
                  <c:v>2069.5</c:v>
                </c:pt>
                <c:pt idx="17">
                  <c:v>2371.89</c:v>
                </c:pt>
                <c:pt idx="18">
                  <c:v>2555.66</c:v>
                </c:pt>
                <c:pt idx="19">
                  <c:v>2672.88</c:v>
                </c:pt>
                <c:pt idx="20">
                  <c:v>2919.43</c:v>
                </c:pt>
                <c:pt idx="21">
                  <c:v>3371.94</c:v>
                </c:pt>
                <c:pt idx="22">
                  <c:v>3541.59</c:v>
                </c:pt>
                <c:pt idx="23">
                  <c:v>4314.17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C5-404A-A71D-F0E200FB6CAF}"/>
            </c:ext>
          </c:extLst>
        </c:ser>
        <c:ser>
          <c:idx val="4"/>
          <c:order val="4"/>
          <c:tx>
            <c:v>RW Static</c:v>
          </c:tx>
          <c:spPr>
            <a:ln w="19050" cap="rnd">
              <a:solidFill>
                <a:srgbClr val="66FF33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'RANDOM WALK'!$Z$3:$Z$26</c:f>
              <c:numCache>
                <c:formatCode>0.00</c:formatCode>
                <c:ptCount val="24"/>
                <c:pt idx="0">
                  <c:v>1555.7</c:v>
                </c:pt>
                <c:pt idx="1">
                  <c:v>1588.63</c:v>
                </c:pt>
                <c:pt idx="2">
                  <c:v>1622.63</c:v>
                </c:pt>
                <c:pt idx="3">
                  <c:v>1657.36</c:v>
                </c:pt>
                <c:pt idx="4">
                  <c:v>1938.3</c:v>
                </c:pt>
                <c:pt idx="5">
                  <c:v>1982.49</c:v>
                </c:pt>
                <c:pt idx="6">
                  <c:v>2028.18</c:v>
                </c:pt>
                <c:pt idx="7">
                  <c:v>2074.9299999999998</c:v>
                </c:pt>
                <c:pt idx="8">
                  <c:v>1867.62</c:v>
                </c:pt>
                <c:pt idx="9">
                  <c:v>1907.46</c:v>
                </c:pt>
                <c:pt idx="10">
                  <c:v>1948.61</c:v>
                </c:pt>
                <c:pt idx="11">
                  <c:v>1990.65</c:v>
                </c:pt>
                <c:pt idx="12">
                  <c:v>1863.22</c:v>
                </c:pt>
                <c:pt idx="13">
                  <c:v>1901.2</c:v>
                </c:pt>
                <c:pt idx="14">
                  <c:v>1940.38</c:v>
                </c:pt>
                <c:pt idx="15">
                  <c:v>1980.37</c:v>
                </c:pt>
                <c:pt idx="16">
                  <c:v>2127.58</c:v>
                </c:pt>
                <c:pt idx="17">
                  <c:v>2172.1</c:v>
                </c:pt>
                <c:pt idx="18">
                  <c:v>2218.0500000000002</c:v>
                </c:pt>
                <c:pt idx="19">
                  <c:v>2264.98</c:v>
                </c:pt>
                <c:pt idx="20">
                  <c:v>2676.75</c:v>
                </c:pt>
                <c:pt idx="21">
                  <c:v>2736.71</c:v>
                </c:pt>
                <c:pt idx="22">
                  <c:v>2798.1</c:v>
                </c:pt>
                <c:pt idx="23">
                  <c:v>2862.1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C5-404A-A71D-F0E200FB6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46367"/>
        <c:axId val="172143967"/>
      </c:lineChart>
      <c:catAx>
        <c:axId val="1721463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143967"/>
        <c:crosses val="autoZero"/>
        <c:auto val="1"/>
        <c:lblAlgn val="ctr"/>
        <c:lblOffset val="100"/>
        <c:noMultiLvlLbl val="0"/>
      </c:catAx>
      <c:valAx>
        <c:axId val="172143967"/>
        <c:scaling>
          <c:orientation val="minMax"/>
          <c:max val="4500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14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EUR/USD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Real Price</c:v>
          </c:tx>
          <c:spPr>
            <a:ln w="76200" cap="rnd">
              <a:solidFill>
                <a:srgbClr val="22BDFF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'ARIMA FINAL'!$Q$3:$Q$26</c:f>
              <c:numCache>
                <c:formatCode>0.0000</c:formatCode>
                <c:ptCount val="24"/>
                <c:pt idx="0">
                  <c:v>1.0962000000000001</c:v>
                </c:pt>
                <c:pt idx="1">
                  <c:v>1.125</c:v>
                </c:pt>
                <c:pt idx="2">
                  <c:v>1.1747000000000001</c:v>
                </c:pt>
                <c:pt idx="3">
                  <c:v>1.2213000000000001</c:v>
                </c:pt>
                <c:pt idx="4">
                  <c:v>1.1775</c:v>
                </c:pt>
                <c:pt idx="5">
                  <c:v>1.1848000000000001</c:v>
                </c:pt>
                <c:pt idx="6">
                  <c:v>1.1594</c:v>
                </c:pt>
                <c:pt idx="7">
                  <c:v>1.1368</c:v>
                </c:pt>
                <c:pt idx="8">
                  <c:v>1.1052999999999999</c:v>
                </c:pt>
                <c:pt idx="9">
                  <c:v>1.0427999999999999</c:v>
                </c:pt>
                <c:pt idx="10">
                  <c:v>0.97989999999999999</c:v>
                </c:pt>
                <c:pt idx="11">
                  <c:v>1.0702</c:v>
                </c:pt>
                <c:pt idx="12">
                  <c:v>1.0839000000000001</c:v>
                </c:pt>
                <c:pt idx="13">
                  <c:v>1.091</c:v>
                </c:pt>
                <c:pt idx="14">
                  <c:v>1.0569999999999999</c:v>
                </c:pt>
                <c:pt idx="15">
                  <c:v>1.1044</c:v>
                </c:pt>
                <c:pt idx="16">
                  <c:v>1.0743</c:v>
                </c:pt>
                <c:pt idx="17">
                  <c:v>1.0738000000000001</c:v>
                </c:pt>
                <c:pt idx="18">
                  <c:v>1.1067</c:v>
                </c:pt>
                <c:pt idx="19">
                  <c:v>1.0355000000000001</c:v>
                </c:pt>
                <c:pt idx="20">
                  <c:v>1.0792999999999999</c:v>
                </c:pt>
                <c:pt idx="21">
                  <c:v>1.1807000000000001</c:v>
                </c:pt>
                <c:pt idx="22">
                  <c:v>1.173</c:v>
                </c:pt>
                <c:pt idx="23">
                  <c:v>1.1746000000000001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8-4C3D-817A-F008635741E9}"/>
            </c:ext>
          </c:extLst>
        </c:ser>
        <c:ser>
          <c:idx val="1"/>
          <c:order val="1"/>
          <c:tx>
            <c:v>ARIMA Monthly</c:v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'ARIMA FINAL'!$P$3:$P$26</c:f>
              <c:numCache>
                <c:formatCode>0.0000</c:formatCode>
                <c:ptCount val="24"/>
                <c:pt idx="0">
                  <c:v>1.1028</c:v>
                </c:pt>
                <c:pt idx="1">
                  <c:v>1.1137999999999999</c:v>
                </c:pt>
                <c:pt idx="2">
                  <c:v>1.1917</c:v>
                </c:pt>
                <c:pt idx="3">
                  <c:v>1.2078</c:v>
                </c:pt>
                <c:pt idx="4">
                  <c:v>1.2055</c:v>
                </c:pt>
                <c:pt idx="5">
                  <c:v>1.2219</c:v>
                </c:pt>
                <c:pt idx="6">
                  <c:v>1.1843999999999999</c:v>
                </c:pt>
                <c:pt idx="7">
                  <c:v>1.1323000000000001</c:v>
                </c:pt>
                <c:pt idx="8">
                  <c:v>1.113</c:v>
                </c:pt>
                <c:pt idx="9">
                  <c:v>1.0649</c:v>
                </c:pt>
                <c:pt idx="10">
                  <c:v>0.99429999999999996</c:v>
                </c:pt>
                <c:pt idx="11">
                  <c:v>1.0523</c:v>
                </c:pt>
                <c:pt idx="12">
                  <c:v>1.0666</c:v>
                </c:pt>
                <c:pt idx="13">
                  <c:v>1.0763</c:v>
                </c:pt>
                <c:pt idx="14">
                  <c:v>1.0774999999999999</c:v>
                </c:pt>
                <c:pt idx="15">
                  <c:v>1.0884</c:v>
                </c:pt>
                <c:pt idx="16">
                  <c:v>1.0839000000000001</c:v>
                </c:pt>
                <c:pt idx="17">
                  <c:v>1.0843</c:v>
                </c:pt>
                <c:pt idx="18">
                  <c:v>1.1049</c:v>
                </c:pt>
                <c:pt idx="19">
                  <c:v>1.0576000000000001</c:v>
                </c:pt>
                <c:pt idx="20">
                  <c:v>1.0376000000000001</c:v>
                </c:pt>
                <c:pt idx="21">
                  <c:v>1.1352</c:v>
                </c:pt>
                <c:pt idx="22">
                  <c:v>1.1716</c:v>
                </c:pt>
                <c:pt idx="23">
                  <c:v>1.1615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8-4C3D-817A-F008635741E9}"/>
            </c:ext>
          </c:extLst>
        </c:ser>
        <c:ser>
          <c:idx val="2"/>
          <c:order val="2"/>
          <c:tx>
            <c:v>ARIMA Static</c:v>
          </c:tx>
          <c:spPr>
            <a:ln w="444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'ARIMA FINAL'!$AP$3:$AP$26</c:f>
              <c:numCache>
                <c:formatCode>0.0000</c:formatCode>
                <c:ptCount val="24"/>
                <c:pt idx="0">
                  <c:v>1.1222000000000001</c:v>
                </c:pt>
                <c:pt idx="1">
                  <c:v>1.1234</c:v>
                </c:pt>
                <c:pt idx="2">
                  <c:v>1.1247</c:v>
                </c:pt>
                <c:pt idx="3">
                  <c:v>1.1258999999999999</c:v>
                </c:pt>
                <c:pt idx="4">
                  <c:v>1.2239</c:v>
                </c:pt>
                <c:pt idx="5">
                  <c:v>1.2263999999999999</c:v>
                </c:pt>
                <c:pt idx="6">
                  <c:v>1.2290000000000001</c:v>
                </c:pt>
                <c:pt idx="7">
                  <c:v>1.2316</c:v>
                </c:pt>
                <c:pt idx="8">
                  <c:v>1.1380999999999999</c:v>
                </c:pt>
                <c:pt idx="9">
                  <c:v>1.1394</c:v>
                </c:pt>
                <c:pt idx="10">
                  <c:v>1.1407</c:v>
                </c:pt>
                <c:pt idx="11">
                  <c:v>1.1419999999999999</c:v>
                </c:pt>
                <c:pt idx="12">
                  <c:v>1.0707</c:v>
                </c:pt>
                <c:pt idx="13">
                  <c:v>1.0711999999999999</c:v>
                </c:pt>
                <c:pt idx="14">
                  <c:v>1.0716000000000001</c:v>
                </c:pt>
                <c:pt idx="15">
                  <c:v>1.0721000000000001</c:v>
                </c:pt>
                <c:pt idx="16">
                  <c:v>1.1044</c:v>
                </c:pt>
                <c:pt idx="17">
                  <c:v>1.1052999999999999</c:v>
                </c:pt>
                <c:pt idx="18">
                  <c:v>1.1061000000000001</c:v>
                </c:pt>
                <c:pt idx="19">
                  <c:v>1.1069</c:v>
                </c:pt>
                <c:pt idx="20">
                  <c:v>1.0355000000000001</c:v>
                </c:pt>
                <c:pt idx="21">
                  <c:v>1.0355000000000001</c:v>
                </c:pt>
                <c:pt idx="22">
                  <c:v>1.0356000000000001</c:v>
                </c:pt>
                <c:pt idx="23">
                  <c:v>1.0357000000000001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8-4C3D-817A-F008635741E9}"/>
            </c:ext>
          </c:extLst>
        </c:ser>
        <c:ser>
          <c:idx val="3"/>
          <c:order val="3"/>
          <c:tx>
            <c:v>RW Monthly</c:v>
          </c:tx>
          <c:spPr>
            <a:ln w="19050" cap="rnd">
              <a:solidFill>
                <a:srgbClr val="66FF33"/>
              </a:solidFill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'RANDOM WALK'!$L$3:$L$26</c:f>
              <c:numCache>
                <c:formatCode>0.0000</c:formatCode>
                <c:ptCount val="24"/>
                <c:pt idx="0">
                  <c:v>1.1028</c:v>
                </c:pt>
                <c:pt idx="1">
                  <c:v>1.1137999999999999</c:v>
                </c:pt>
                <c:pt idx="2">
                  <c:v>1.1917</c:v>
                </c:pt>
                <c:pt idx="3">
                  <c:v>1.2078</c:v>
                </c:pt>
                <c:pt idx="4">
                  <c:v>1.2055</c:v>
                </c:pt>
                <c:pt idx="5">
                  <c:v>1.222</c:v>
                </c:pt>
                <c:pt idx="6">
                  <c:v>1.1843999999999999</c:v>
                </c:pt>
                <c:pt idx="7">
                  <c:v>1.1323000000000001</c:v>
                </c:pt>
                <c:pt idx="8">
                  <c:v>1.113</c:v>
                </c:pt>
                <c:pt idx="9">
                  <c:v>1.0648</c:v>
                </c:pt>
                <c:pt idx="10">
                  <c:v>0.99439999999999995</c:v>
                </c:pt>
                <c:pt idx="11">
                  <c:v>1.0524</c:v>
                </c:pt>
                <c:pt idx="12">
                  <c:v>1.0666</c:v>
                </c:pt>
                <c:pt idx="13">
                  <c:v>1.0762</c:v>
                </c:pt>
                <c:pt idx="14">
                  <c:v>1.0773999999999999</c:v>
                </c:pt>
                <c:pt idx="15">
                  <c:v>1.0883</c:v>
                </c:pt>
                <c:pt idx="16">
                  <c:v>1.0839000000000001</c:v>
                </c:pt>
                <c:pt idx="17">
                  <c:v>1.0843</c:v>
                </c:pt>
                <c:pt idx="18">
                  <c:v>1.105</c:v>
                </c:pt>
                <c:pt idx="19">
                  <c:v>1.0576000000000001</c:v>
                </c:pt>
                <c:pt idx="20">
                  <c:v>1.0375000000000001</c:v>
                </c:pt>
                <c:pt idx="21">
                  <c:v>1.1352</c:v>
                </c:pt>
                <c:pt idx="22">
                  <c:v>1.1716</c:v>
                </c:pt>
                <c:pt idx="23">
                  <c:v>1.1615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18-4C3D-817A-F008635741E9}"/>
            </c:ext>
          </c:extLst>
        </c:ser>
        <c:ser>
          <c:idx val="4"/>
          <c:order val="4"/>
          <c:tx>
            <c:v>RW Static</c:v>
          </c:tx>
          <c:spPr>
            <a:ln w="19050" cap="rnd">
              <a:solidFill>
                <a:srgbClr val="66FF33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'ARIMA FINAL'!$B$3:$B$26</c:f>
              <c:strCache>
                <c:ptCount val="24"/>
                <c:pt idx="0">
                  <c:v>1'Abril'20</c:v>
                </c:pt>
                <c:pt idx="1">
                  <c:v>1'Julho'20</c:v>
                </c:pt>
                <c:pt idx="2">
                  <c:v>1'Outubro'20</c:v>
                </c:pt>
                <c:pt idx="3">
                  <c:v>1'Janeiro'21</c:v>
                </c:pt>
                <c:pt idx="4">
                  <c:v>1'Abril'21</c:v>
                </c:pt>
                <c:pt idx="5">
                  <c:v>1'Julho'21</c:v>
                </c:pt>
                <c:pt idx="6">
                  <c:v>1'Outubro'21</c:v>
                </c:pt>
                <c:pt idx="7">
                  <c:v>1'Janeiro'22</c:v>
                </c:pt>
                <c:pt idx="8">
                  <c:v>1'Abril'22</c:v>
                </c:pt>
                <c:pt idx="9">
                  <c:v>1'Julho'22</c:v>
                </c:pt>
                <c:pt idx="10">
                  <c:v>1'Outubro'22</c:v>
                </c:pt>
                <c:pt idx="11">
                  <c:v>1'Janeiro'23</c:v>
                </c:pt>
                <c:pt idx="12">
                  <c:v>1'Abril'23</c:v>
                </c:pt>
                <c:pt idx="13">
                  <c:v>1'Julho'23</c:v>
                </c:pt>
                <c:pt idx="14">
                  <c:v>1'Outubro'23</c:v>
                </c:pt>
                <c:pt idx="15">
                  <c:v>1'Janeiro'24</c:v>
                </c:pt>
                <c:pt idx="16">
                  <c:v>1'Abril'24</c:v>
                </c:pt>
                <c:pt idx="17">
                  <c:v>1'Julho'24</c:v>
                </c:pt>
                <c:pt idx="18">
                  <c:v>1'Outubro'24</c:v>
                </c:pt>
                <c:pt idx="19">
                  <c:v>1'Janeiro'25</c:v>
                </c:pt>
                <c:pt idx="20">
                  <c:v>1'Abril'25</c:v>
                </c:pt>
                <c:pt idx="21">
                  <c:v>1'Julho'25</c:v>
                </c:pt>
                <c:pt idx="22">
                  <c:v>1'Outubro'25</c:v>
                </c:pt>
                <c:pt idx="23">
                  <c:v>1'Janeiro'26</c:v>
                </c:pt>
              </c:strCache>
            </c:strRef>
          </c:cat>
          <c:val>
            <c:numRef>
              <c:f>'RANDOM WALK'!$AD$3:$AD$26</c:f>
              <c:numCache>
                <c:formatCode>0.0000</c:formatCode>
                <c:ptCount val="24"/>
                <c:pt idx="0">
                  <c:v>1.1222000000000001</c:v>
                </c:pt>
                <c:pt idx="1">
                  <c:v>1.1234999999999999</c:v>
                </c:pt>
                <c:pt idx="2">
                  <c:v>1.1247</c:v>
                </c:pt>
                <c:pt idx="3">
                  <c:v>1.1259999999999999</c:v>
                </c:pt>
                <c:pt idx="4">
                  <c:v>1.2238</c:v>
                </c:pt>
                <c:pt idx="5">
                  <c:v>1.2263999999999999</c:v>
                </c:pt>
                <c:pt idx="6">
                  <c:v>1.2289000000000001</c:v>
                </c:pt>
                <c:pt idx="7">
                  <c:v>1.2315</c:v>
                </c:pt>
                <c:pt idx="8">
                  <c:v>1.1380999999999999</c:v>
                </c:pt>
                <c:pt idx="9">
                  <c:v>1.1394</c:v>
                </c:pt>
                <c:pt idx="10">
                  <c:v>1.1408</c:v>
                </c:pt>
                <c:pt idx="11">
                  <c:v>1.1420999999999999</c:v>
                </c:pt>
                <c:pt idx="12">
                  <c:v>1.0707</c:v>
                </c:pt>
                <c:pt idx="13">
                  <c:v>1.0711999999999999</c:v>
                </c:pt>
                <c:pt idx="14">
                  <c:v>1.0717000000000001</c:v>
                </c:pt>
                <c:pt idx="15">
                  <c:v>1.0722</c:v>
                </c:pt>
                <c:pt idx="16">
                  <c:v>1.1044</c:v>
                </c:pt>
                <c:pt idx="17">
                  <c:v>1.1052999999999999</c:v>
                </c:pt>
                <c:pt idx="18">
                  <c:v>1.1061000000000001</c:v>
                </c:pt>
                <c:pt idx="19">
                  <c:v>1.107</c:v>
                </c:pt>
                <c:pt idx="20">
                  <c:v>1.0354000000000001</c:v>
                </c:pt>
                <c:pt idx="21">
                  <c:v>1.0355000000000001</c:v>
                </c:pt>
                <c:pt idx="22">
                  <c:v>1.0356000000000001</c:v>
                </c:pt>
                <c:pt idx="23">
                  <c:v>1.0357000000000001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18-4C3D-817A-F00863574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46367"/>
        <c:axId val="172143967"/>
      </c:lineChart>
      <c:catAx>
        <c:axId val="1721463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143967"/>
        <c:crosses val="autoZero"/>
        <c:auto val="1"/>
        <c:lblAlgn val="ctr"/>
        <c:lblOffset val="100"/>
        <c:noMultiLvlLbl val="0"/>
      </c:catAx>
      <c:valAx>
        <c:axId val="172143967"/>
        <c:scaling>
          <c:orientation val="minMax"/>
          <c:max val="1.25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214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PT" sz="1800" b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Absolute Error - Monthly</a:t>
            </a:r>
            <a:r>
              <a:rPr lang="pt-PT" sz="1800" b="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Models</a:t>
            </a:r>
            <a:endParaRPr lang="pt-PT" sz="1800" b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Erros!$B$42</c:f>
              <c:strCache>
                <c:ptCount val="1"/>
                <c:pt idx="0">
                  <c:v>ARIMA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Erros!$C$42:$F$42</c:f>
              <c:numCache>
                <c:formatCode>0.00%</c:formatCode>
                <c:ptCount val="4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8-4E67-9868-3313DE0E2A65}"/>
            </c:ext>
          </c:extLst>
        </c:ser>
        <c:ser>
          <c:idx val="2"/>
          <c:order val="2"/>
          <c:tx>
            <c:strRef>
              <c:f>Erros!$B$44</c:f>
              <c:strCache>
                <c:ptCount val="1"/>
                <c:pt idx="0">
                  <c:v>Random Walk </c:v>
                </c:pt>
              </c:strCache>
            </c:strRef>
          </c:tx>
          <c:spPr>
            <a:solidFill>
              <a:srgbClr val="FFC107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Erros!$C$44:$F$44</c:f>
              <c:numCache>
                <c:formatCode>0.00%</c:formatCode>
                <c:ptCount val="4"/>
                <c:pt idx="0">
                  <c:v>0.15170884130970821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8-4E67-9868-3313DE0E2A65}"/>
            </c:ext>
          </c:extLst>
        </c:ser>
        <c:ser>
          <c:idx val="4"/>
          <c:order val="4"/>
          <c:tx>
            <c:strRef>
              <c:f>Erros!$B$46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Erros!$C$46:$F$46</c:f>
              <c:numCache>
                <c:formatCode>0.00%</c:formatCode>
                <c:ptCount val="4"/>
                <c:pt idx="0">
                  <c:v>0.13992101242401314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48-4E67-9868-3313DE0E2A65}"/>
            </c:ext>
          </c:extLst>
        </c:ser>
        <c:ser>
          <c:idx val="6"/>
          <c:order val="6"/>
          <c:tx>
            <c:strRef>
              <c:f>Erros!$B$48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Erros!$C$48:$F$48</c:f>
              <c:numCache>
                <c:formatCode>0.00%</c:formatCode>
                <c:ptCount val="4"/>
                <c:pt idx="0">
                  <c:v>0.1177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48-4E67-9868-3313DE0E2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663935"/>
        <c:axId val="324666815"/>
      </c:barChart>
      <c:barChart>
        <c:barDir val="col"/>
        <c:grouping val="clustered"/>
        <c:varyColors val="0"/>
        <c:ser>
          <c:idx val="1"/>
          <c:order val="1"/>
          <c:tx>
            <c:strRef>
              <c:f>Erros!$B$43</c:f>
              <c:strCache>
                <c:ptCount val="1"/>
                <c:pt idx="0">
                  <c:v>ARIMA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Erros!$C$43:$F$43</c:f>
              <c:numCache>
                <c:formatCode>0.00%</c:formatCode>
                <c:ptCount val="4"/>
                <c:pt idx="1">
                  <c:v>4.65E-2</c:v>
                </c:pt>
                <c:pt idx="2">
                  <c:v>3.3399999999999999E-2</c:v>
                </c:pt>
                <c:pt idx="3">
                  <c:v>1.5699999999999999E-2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48-4E67-9868-3313DE0E2A65}"/>
            </c:ext>
          </c:extLst>
        </c:ser>
        <c:ser>
          <c:idx val="3"/>
          <c:order val="3"/>
          <c:tx>
            <c:strRef>
              <c:f>Erros!$B$45</c:f>
              <c:strCache>
                <c:ptCount val="1"/>
                <c:pt idx="0">
                  <c:v>Random Walk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Erros!$C$45:$F$45</c:f>
              <c:numCache>
                <c:formatCode>0.00%</c:formatCode>
                <c:ptCount val="4"/>
                <c:pt idx="1">
                  <c:v>4.6677573459635878E-2</c:v>
                </c:pt>
                <c:pt idx="2">
                  <c:v>3.343376420297605E-2</c:v>
                </c:pt>
                <c:pt idx="3">
                  <c:v>1.5679260351739922E-2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48-4E67-9868-3313DE0E2A65}"/>
            </c:ext>
          </c:extLst>
        </c:ser>
        <c:ser>
          <c:idx val="5"/>
          <c:order val="5"/>
          <c:tx>
            <c:strRef>
              <c:f>Erros!$B$47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Erros!$C$47:$F$47</c:f>
              <c:numCache>
                <c:formatCode>0.00%</c:formatCode>
                <c:ptCount val="4"/>
                <c:pt idx="1">
                  <c:v>4.6815342761204144E-2</c:v>
                </c:pt>
                <c:pt idx="2">
                  <c:v>3.3684124859575469E-2</c:v>
                </c:pt>
                <c:pt idx="3">
                  <c:v>1.5684043596424616E-2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48-4E67-9868-3313DE0E2A65}"/>
            </c:ext>
          </c:extLst>
        </c:ser>
        <c:ser>
          <c:idx val="7"/>
          <c:order val="7"/>
          <c:tx>
            <c:strRef>
              <c:f>Erros!$B$49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Erros!$C$49:$F$49</c:f>
              <c:numCache>
                <c:formatCode>0.00%</c:formatCode>
                <c:ptCount val="4"/>
                <c:pt idx="1">
                  <c:v>4.6899999999999997E-2</c:v>
                </c:pt>
                <c:pt idx="2">
                  <c:v>3.4000000000000002E-2</c:v>
                </c:pt>
                <c:pt idx="3">
                  <c:v>1.6199999999999999E-2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48-4E67-9868-3313DE0E2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762335"/>
        <c:axId val="390769535"/>
      </c:barChart>
      <c:catAx>
        <c:axId val="3246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4666815"/>
        <c:crosses val="autoZero"/>
        <c:auto val="1"/>
        <c:lblAlgn val="ctr"/>
        <c:lblOffset val="100"/>
        <c:noMultiLvlLbl val="0"/>
      </c:catAx>
      <c:valAx>
        <c:axId val="324666815"/>
        <c:scaling>
          <c:orientation val="minMax"/>
          <c:max val="0.18000000000000002"/>
          <c:min val="0"/>
        </c:scaling>
        <c:delete val="0"/>
        <c:axPos val="l"/>
        <c:majorGridlines>
          <c:spPr>
            <a:ln w="19050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44450"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4663935"/>
        <c:crosses val="autoZero"/>
        <c:crossBetween val="between"/>
        <c:majorUnit val="3.0000000000000006E-2"/>
      </c:valAx>
      <c:valAx>
        <c:axId val="390769535"/>
        <c:scaling>
          <c:orientation val="minMax"/>
          <c:max val="6.0000000000000012E-2"/>
          <c:min val="0"/>
        </c:scaling>
        <c:delete val="1"/>
        <c:axPos val="r"/>
        <c:majorGridlines>
          <c:spPr>
            <a:ln w="31750" cap="flat" cmpd="sng" algn="ctr">
              <a:noFill/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crossAx val="390762335"/>
        <c:crosses val="max"/>
        <c:crossBetween val="between"/>
        <c:majorUnit val="1.5000000000000003E-2"/>
      </c:valAx>
      <c:catAx>
        <c:axId val="390762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769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PT" sz="1800" b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Absolute Error - Static</a:t>
            </a:r>
            <a:r>
              <a:rPr lang="pt-PT" sz="1800" b="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Models</a:t>
            </a:r>
            <a:endParaRPr lang="pt-PT" sz="1800" b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Erros!$B$42</c:f>
              <c:strCache>
                <c:ptCount val="1"/>
                <c:pt idx="0">
                  <c:v>ARIMA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Erros!$M$42:$P$42</c:f>
              <c:numCache>
                <c:formatCode>General</c:formatCode>
                <c:ptCount val="4"/>
                <c:pt idx="0" formatCode="0.00%">
                  <c:v>1.0222612002063356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3-437B-BC75-586903874AE4}"/>
            </c:ext>
          </c:extLst>
        </c:ser>
        <c:ser>
          <c:idx val="2"/>
          <c:order val="2"/>
          <c:tx>
            <c:strRef>
              <c:f>Erros!$B$44</c:f>
              <c:strCache>
                <c:ptCount val="1"/>
                <c:pt idx="0">
                  <c:v>Random Walk </c:v>
                </c:pt>
              </c:strCache>
            </c:strRef>
          </c:tx>
          <c:spPr>
            <a:solidFill>
              <a:srgbClr val="FFC107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Erros!$M$44:$P$44</c:f>
              <c:numCache>
                <c:formatCode>General</c:formatCode>
                <c:ptCount val="4"/>
                <c:pt idx="0" formatCode="0.00%">
                  <c:v>1.030005631985802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63-437B-BC75-586903874AE4}"/>
            </c:ext>
          </c:extLst>
        </c:ser>
        <c:ser>
          <c:idx val="4"/>
          <c:order val="4"/>
          <c:tx>
            <c:strRef>
              <c:f>Erros!$B$46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Erros!$M$46:$P$46</c:f>
              <c:numCache>
                <c:formatCode>0.000%</c:formatCode>
                <c:ptCount val="4"/>
                <c:pt idx="0" formatCode="0.00%">
                  <c:v>0.78659999999999997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63-437B-BC75-586903874AE4}"/>
            </c:ext>
          </c:extLst>
        </c:ser>
        <c:ser>
          <c:idx val="6"/>
          <c:order val="6"/>
          <c:tx>
            <c:strRef>
              <c:f>Erros!$B$48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Erros!$M$48:$P$48</c:f>
              <c:numCache>
                <c:formatCode>0.00%</c:formatCode>
                <c:ptCount val="4"/>
                <c:pt idx="0">
                  <c:v>0.86670000000000003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63-437B-BC75-586903874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663935"/>
        <c:axId val="324666815"/>
      </c:barChart>
      <c:barChart>
        <c:barDir val="col"/>
        <c:grouping val="clustered"/>
        <c:varyColors val="0"/>
        <c:ser>
          <c:idx val="1"/>
          <c:order val="1"/>
          <c:tx>
            <c:strRef>
              <c:f>Erros!$B$43</c:f>
              <c:strCache>
                <c:ptCount val="1"/>
                <c:pt idx="0">
                  <c:v>ARIMA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Erros!$M$43:$P$43</c:f>
              <c:numCache>
                <c:formatCode>0.00%</c:formatCode>
                <c:ptCount val="4"/>
                <c:pt idx="1">
                  <c:v>0.13022043210984902</c:v>
                </c:pt>
                <c:pt idx="2">
                  <c:v>0.11816733279572549</c:v>
                </c:pt>
                <c:pt idx="3">
                  <c:v>5.4851630482665011E-2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63-437B-BC75-586903874AE4}"/>
            </c:ext>
          </c:extLst>
        </c:ser>
        <c:ser>
          <c:idx val="3"/>
          <c:order val="3"/>
          <c:tx>
            <c:strRef>
              <c:f>Erros!$B$45</c:f>
              <c:strCache>
                <c:ptCount val="1"/>
                <c:pt idx="0">
                  <c:v>Random Walk </c:v>
                </c:pt>
              </c:strCache>
            </c:strRef>
          </c:tx>
          <c:spPr>
            <a:solidFill>
              <a:srgbClr val="FFC107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Erros!$M$45:$P$45</c:f>
              <c:numCache>
                <c:formatCode>0.00%</c:formatCode>
                <c:ptCount val="4"/>
                <c:pt idx="1">
                  <c:v>0.1301122092205223</c:v>
                </c:pt>
                <c:pt idx="2">
                  <c:v>0.11818648800486893</c:v>
                </c:pt>
                <c:pt idx="3">
                  <c:v>5.4849916493526697E-2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63-437B-BC75-586903874AE4}"/>
            </c:ext>
          </c:extLst>
        </c:ser>
        <c:ser>
          <c:idx val="5"/>
          <c:order val="5"/>
          <c:tx>
            <c:strRef>
              <c:f>Erros!$B$47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Erros!$M$47:$P$47</c:f>
              <c:numCache>
                <c:formatCode>0.00%</c:formatCode>
                <c:ptCount val="4"/>
                <c:pt idx="1">
                  <c:v>0.13106220860414822</c:v>
                </c:pt>
                <c:pt idx="2">
                  <c:v>0.11846856750952502</c:v>
                </c:pt>
                <c:pt idx="3">
                  <c:v>5.6554423548711229E-2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63-437B-BC75-586903874AE4}"/>
            </c:ext>
          </c:extLst>
        </c:ser>
        <c:ser>
          <c:idx val="7"/>
          <c:order val="7"/>
          <c:tx>
            <c:strRef>
              <c:f>Erros!$B$49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Erros!$M$49:$P$49</c:f>
              <c:numCache>
                <c:formatCode>0.00%</c:formatCode>
                <c:ptCount val="4"/>
                <c:pt idx="1">
                  <c:v>0.1371</c:v>
                </c:pt>
                <c:pt idx="2">
                  <c:v>0.1037</c:v>
                </c:pt>
                <c:pt idx="3">
                  <c:v>5.7700000000000001E-2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63-437B-BC75-586903874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762335"/>
        <c:axId val="390769535"/>
      </c:barChart>
      <c:catAx>
        <c:axId val="3246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4666815"/>
        <c:crosses val="autoZero"/>
        <c:auto val="1"/>
        <c:lblAlgn val="ctr"/>
        <c:lblOffset val="100"/>
        <c:noMultiLvlLbl val="0"/>
      </c:catAx>
      <c:valAx>
        <c:axId val="324666815"/>
        <c:scaling>
          <c:orientation val="minMax"/>
          <c:max val="1.05"/>
          <c:min val="0"/>
        </c:scaling>
        <c:delete val="0"/>
        <c:axPos val="l"/>
        <c:majorGridlines>
          <c:spPr>
            <a:ln w="19050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44450"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4663935"/>
        <c:crosses val="autoZero"/>
        <c:crossBetween val="between"/>
      </c:valAx>
      <c:valAx>
        <c:axId val="390769535"/>
        <c:scaling>
          <c:orientation val="minMax"/>
          <c:max val="6.0000000000000012E-2"/>
          <c:min val="0"/>
        </c:scaling>
        <c:delete val="1"/>
        <c:axPos val="r"/>
        <c:majorGridlines>
          <c:spPr>
            <a:ln w="31750" cap="flat" cmpd="sng" algn="ctr">
              <a:noFill/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crossAx val="390762335"/>
        <c:crosses val="max"/>
        <c:crossBetween val="between"/>
        <c:majorUnit val="1.5000000000000003E-2"/>
      </c:valAx>
      <c:catAx>
        <c:axId val="390762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769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PT" sz="1800" b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Absolute Error - Long Run</a:t>
            </a:r>
            <a:r>
              <a:rPr lang="pt-PT" sz="1800" b="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Models</a:t>
            </a:r>
            <a:endParaRPr lang="pt-PT" sz="1800" b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Erros!$B$42</c:f>
              <c:strCache>
                <c:ptCount val="1"/>
                <c:pt idx="0">
                  <c:v>ARIMA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Erros!$W$42:$Z$42</c:f>
              <c:numCache>
                <c:formatCode>General</c:formatCode>
                <c:ptCount val="4"/>
                <c:pt idx="0" formatCode="0.00%">
                  <c:v>97.2834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A-4E8B-9FC6-91504D9C19D6}"/>
            </c:ext>
          </c:extLst>
        </c:ser>
        <c:ser>
          <c:idx val="2"/>
          <c:order val="2"/>
          <c:tx>
            <c:strRef>
              <c:f>Erros!$B$44</c:f>
              <c:strCache>
                <c:ptCount val="1"/>
                <c:pt idx="0">
                  <c:v>Random Walk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Erros!$W$44:$Z$44</c:f>
              <c:numCache>
                <c:formatCode>General</c:formatCode>
                <c:ptCount val="4"/>
                <c:pt idx="0" formatCode="0.00%">
                  <c:v>97.491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DA-4E8B-9FC6-91504D9C19D6}"/>
            </c:ext>
          </c:extLst>
        </c:ser>
        <c:ser>
          <c:idx val="4"/>
          <c:order val="4"/>
          <c:tx>
            <c:strRef>
              <c:f>Erros!$B$46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Erros!$W$46:$Z$46</c:f>
              <c:numCache>
                <c:formatCode>0.000%</c:formatCode>
                <c:ptCount val="4"/>
                <c:pt idx="0" formatCode="0.00%">
                  <c:v>26.577400000000001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DA-4E8B-9FC6-91504D9C19D6}"/>
            </c:ext>
          </c:extLst>
        </c:ser>
        <c:ser>
          <c:idx val="6"/>
          <c:order val="6"/>
          <c:tx>
            <c:strRef>
              <c:f>Erros!$B$48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Erros!$W$48:$Z$48</c:f>
              <c:numCache>
                <c:formatCode>0.00%</c:formatCode>
                <c:ptCount val="4"/>
                <c:pt idx="0">
                  <c:v>0.53469999999999995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DA-4E8B-9FC6-91504D9C1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663935"/>
        <c:axId val="324666815"/>
      </c:barChart>
      <c:barChart>
        <c:barDir val="col"/>
        <c:grouping val="clustered"/>
        <c:varyColors val="0"/>
        <c:ser>
          <c:idx val="1"/>
          <c:order val="1"/>
          <c:tx>
            <c:strRef>
              <c:f>Erros!$B$43</c:f>
              <c:strCache>
                <c:ptCount val="1"/>
                <c:pt idx="0">
                  <c:v>ARIMA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Erros!$W$43:$Z$43</c:f>
              <c:numCache>
                <c:formatCode>0.00%</c:formatCode>
                <c:ptCount val="4"/>
                <c:pt idx="1">
                  <c:v>0.40039999999999998</c:v>
                </c:pt>
                <c:pt idx="2">
                  <c:v>0.42149999999999999</c:v>
                </c:pt>
                <c:pt idx="3">
                  <c:v>2.0199999999999999E-2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DA-4E8B-9FC6-91504D9C19D6}"/>
            </c:ext>
          </c:extLst>
        </c:ser>
        <c:ser>
          <c:idx val="3"/>
          <c:order val="3"/>
          <c:tx>
            <c:strRef>
              <c:f>Erros!$B$45</c:f>
              <c:strCache>
                <c:ptCount val="1"/>
                <c:pt idx="0">
                  <c:v>Random Walk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Erros!$W$45:$Z$45</c:f>
              <c:numCache>
                <c:formatCode>0.00%</c:formatCode>
                <c:ptCount val="4"/>
                <c:pt idx="1">
                  <c:v>0.40029999999999999</c:v>
                </c:pt>
                <c:pt idx="2">
                  <c:v>0.42149999999999999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DA-4E8B-9FC6-91504D9C19D6}"/>
            </c:ext>
          </c:extLst>
        </c:ser>
        <c:ser>
          <c:idx val="5"/>
          <c:order val="5"/>
          <c:tx>
            <c:strRef>
              <c:f>Erros!$B$47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Erros!$W$47:$Z$47</c:f>
              <c:numCache>
                <c:formatCode>0.00%</c:formatCode>
                <c:ptCount val="4"/>
                <c:pt idx="1">
                  <c:v>0.42520000000000002</c:v>
                </c:pt>
                <c:pt idx="2">
                  <c:v>0.42030000000000001</c:v>
                </c:pt>
                <c:pt idx="3">
                  <c:v>2.8899999999999999E-2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DA-4E8B-9FC6-91504D9C19D6}"/>
            </c:ext>
          </c:extLst>
        </c:ser>
        <c:ser>
          <c:idx val="7"/>
          <c:order val="7"/>
          <c:tx>
            <c:strRef>
              <c:f>Erros!$B$49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Erros!$W$49:$Z$49</c:f>
              <c:numCache>
                <c:formatCode>0.00%</c:formatCode>
                <c:ptCount val="4"/>
                <c:pt idx="1">
                  <c:v>0.51559999999999995</c:v>
                </c:pt>
                <c:pt idx="2">
                  <c:v>0.32140000000000002</c:v>
                </c:pt>
                <c:pt idx="3">
                  <c:v>4.2099999999999999E-2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DA-4E8B-9FC6-91504D9C1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762335"/>
        <c:axId val="390769535"/>
      </c:barChart>
      <c:catAx>
        <c:axId val="3246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4666815"/>
        <c:crosses val="autoZero"/>
        <c:auto val="1"/>
        <c:lblAlgn val="ctr"/>
        <c:lblOffset val="100"/>
        <c:noMultiLvlLbl val="0"/>
      </c:catAx>
      <c:valAx>
        <c:axId val="324666815"/>
        <c:scaling>
          <c:orientation val="minMax"/>
          <c:max val="100"/>
          <c:min val="0"/>
        </c:scaling>
        <c:delete val="0"/>
        <c:axPos val="l"/>
        <c:majorGridlines>
          <c:spPr>
            <a:ln w="31750" cap="flat" cmpd="sng" algn="ctr">
              <a:gradFill flip="none" rotWithShape="1">
                <a:gsLst>
                  <a:gs pos="0">
                    <a:schemeClr val="bg2">
                      <a:lumMod val="50000"/>
                    </a:schemeClr>
                  </a:gs>
                  <a:gs pos="10000">
                    <a:srgbClr val="BBB8B8"/>
                  </a:gs>
                  <a:gs pos="27000">
                    <a:schemeClr val="bg1"/>
                  </a:gs>
                </a:gsLst>
                <a:lin ang="0" scaled="1"/>
                <a:tileRect/>
              </a:gra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44450"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4663935"/>
        <c:crosses val="autoZero"/>
        <c:crossBetween val="between"/>
      </c:valAx>
      <c:valAx>
        <c:axId val="390769535"/>
        <c:scaling>
          <c:orientation val="minMax"/>
          <c:max val="0.55000000000000004"/>
          <c:min val="0"/>
        </c:scaling>
        <c:delete val="0"/>
        <c:axPos val="r"/>
        <c:majorGridlines>
          <c:spPr>
            <a:ln w="31750" cap="flat" cmpd="sng" algn="ctr">
              <a:gradFill flip="none" rotWithShape="1">
                <a:gsLst>
                  <a:gs pos="22000">
                    <a:schemeClr val="bg1"/>
                  </a:gs>
                  <a:gs pos="100000">
                    <a:schemeClr val="bg2">
                      <a:lumMod val="50000"/>
                    </a:schemeClr>
                  </a:gs>
                </a:gsLst>
                <a:lin ang="0" scaled="1"/>
                <a:tileRect/>
              </a:gra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 w="38100"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90762335"/>
        <c:crosses val="max"/>
        <c:crossBetween val="between"/>
      </c:valAx>
      <c:catAx>
        <c:axId val="390762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769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PT" sz="1800" b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Absolute Error - Long</a:t>
            </a:r>
            <a:r>
              <a:rPr lang="pt-PT" sz="1800" b="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pt-PT" sz="1800" b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Run</a:t>
            </a:r>
            <a:r>
              <a:rPr lang="pt-PT" sz="1800" b="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Models</a:t>
            </a:r>
            <a:endParaRPr lang="pt-PT" sz="1800" b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Erros!$B$42</c:f>
              <c:strCache>
                <c:ptCount val="1"/>
                <c:pt idx="0">
                  <c:v>ARIMA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Erros!$W$42:$Z$42</c:f>
              <c:numCache>
                <c:formatCode>General</c:formatCode>
                <c:ptCount val="4"/>
                <c:pt idx="0" formatCode="0.00%">
                  <c:v>97.2834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0-4B5A-BE90-62F6F3F95082}"/>
            </c:ext>
          </c:extLst>
        </c:ser>
        <c:ser>
          <c:idx val="2"/>
          <c:order val="2"/>
          <c:tx>
            <c:strRef>
              <c:f>Erros!$B$44</c:f>
              <c:strCache>
                <c:ptCount val="1"/>
                <c:pt idx="0">
                  <c:v>Random Walk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Erros!$W$44:$Z$44</c:f>
              <c:numCache>
                <c:formatCode>General</c:formatCode>
                <c:ptCount val="4"/>
                <c:pt idx="0" formatCode="0.00%">
                  <c:v>97.491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0-4B5A-BE90-62F6F3F95082}"/>
            </c:ext>
          </c:extLst>
        </c:ser>
        <c:ser>
          <c:idx val="4"/>
          <c:order val="4"/>
          <c:tx>
            <c:strRef>
              <c:f>Erros!$B$46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Erros!$W$46:$Z$46</c:f>
              <c:numCache>
                <c:formatCode>0.000%</c:formatCode>
                <c:ptCount val="4"/>
                <c:pt idx="0" formatCode="0.00%">
                  <c:v>26.577400000000001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0-4B5A-BE90-62F6F3F95082}"/>
            </c:ext>
          </c:extLst>
        </c:ser>
        <c:ser>
          <c:idx val="6"/>
          <c:order val="6"/>
          <c:tx>
            <c:strRef>
              <c:f>Erros!$B$48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Erros!$M$48:$P$48</c:f>
              <c:numCache>
                <c:formatCode>0.00%</c:formatCode>
                <c:ptCount val="4"/>
                <c:pt idx="0">
                  <c:v>0.86670000000000003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0-4B5A-BE90-62F6F3F95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663935"/>
        <c:axId val="324666815"/>
      </c:barChart>
      <c:barChart>
        <c:barDir val="col"/>
        <c:grouping val="clustered"/>
        <c:varyColors val="0"/>
        <c:ser>
          <c:idx val="1"/>
          <c:order val="1"/>
          <c:tx>
            <c:strRef>
              <c:f>Erros!$B$43</c:f>
              <c:strCache>
                <c:ptCount val="1"/>
                <c:pt idx="0">
                  <c:v>ARIMA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Erros!$W$43:$Z$43</c:f>
              <c:numCache>
                <c:formatCode>0.00%</c:formatCode>
                <c:ptCount val="4"/>
                <c:pt idx="1">
                  <c:v>0.40039999999999998</c:v>
                </c:pt>
                <c:pt idx="2">
                  <c:v>0.42149999999999999</c:v>
                </c:pt>
                <c:pt idx="3">
                  <c:v>2.0199999999999999E-2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90-4B5A-BE90-62F6F3F95082}"/>
            </c:ext>
          </c:extLst>
        </c:ser>
        <c:ser>
          <c:idx val="3"/>
          <c:order val="3"/>
          <c:tx>
            <c:strRef>
              <c:f>Erros!$B$45</c:f>
              <c:strCache>
                <c:ptCount val="1"/>
                <c:pt idx="0">
                  <c:v>Random Walk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Erros!$W$45:$Z$45</c:f>
              <c:numCache>
                <c:formatCode>0.00%</c:formatCode>
                <c:ptCount val="4"/>
                <c:pt idx="1">
                  <c:v>0.40029999999999999</c:v>
                </c:pt>
                <c:pt idx="2">
                  <c:v>0.42149999999999999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90-4B5A-BE90-62F6F3F95082}"/>
            </c:ext>
          </c:extLst>
        </c:ser>
        <c:ser>
          <c:idx val="5"/>
          <c:order val="5"/>
          <c:tx>
            <c:strRef>
              <c:f>Erros!$B$47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Erros!$W$47:$Z$47</c:f>
              <c:numCache>
                <c:formatCode>0.00%</c:formatCode>
                <c:ptCount val="4"/>
                <c:pt idx="1">
                  <c:v>0.42520000000000002</c:v>
                </c:pt>
                <c:pt idx="2">
                  <c:v>0.42030000000000001</c:v>
                </c:pt>
                <c:pt idx="3">
                  <c:v>2.8899999999999999E-2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90-4B5A-BE90-62F6F3F95082}"/>
            </c:ext>
          </c:extLst>
        </c:ser>
        <c:ser>
          <c:idx val="7"/>
          <c:order val="7"/>
          <c:tx>
            <c:strRef>
              <c:f>Erros!$B$49</c:f>
              <c:strCache>
                <c:ptCount val="1"/>
                <c:pt idx="0">
                  <c:v>RNN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'ARIMA FINAL'!$AU$32:$AX$32</c:f>
              <c:numCache>
                <c:formatCode>General</c:formatCode>
                <c:ptCount val="4"/>
              </c:numCache>
            </c:numRef>
          </c:cat>
          <c:val>
            <c:numRef>
              <c:f>Erros!$W$49:$Z$49</c:f>
              <c:numCache>
                <c:formatCode>0.00%</c:formatCode>
                <c:ptCount val="4"/>
                <c:pt idx="1">
                  <c:v>0.51559999999999995</c:v>
                </c:pt>
                <c:pt idx="2">
                  <c:v>0.32140000000000002</c:v>
                </c:pt>
                <c:pt idx="3">
                  <c:v>4.2099999999999999E-2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90-4B5A-BE90-62F6F3F95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762335"/>
        <c:axId val="390769535"/>
      </c:barChart>
      <c:catAx>
        <c:axId val="3246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4666815"/>
        <c:crosses val="autoZero"/>
        <c:auto val="1"/>
        <c:lblAlgn val="ctr"/>
        <c:lblOffset val="100"/>
        <c:noMultiLvlLbl val="0"/>
      </c:catAx>
      <c:valAx>
        <c:axId val="324666815"/>
        <c:scaling>
          <c:orientation val="minMax"/>
          <c:max val="10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44450"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4663935"/>
        <c:crosses val="autoZero"/>
        <c:crossBetween val="between"/>
      </c:valAx>
      <c:valAx>
        <c:axId val="390769535"/>
        <c:scaling>
          <c:orientation val="minMax"/>
          <c:max val="6.0000000000000012E-2"/>
          <c:min val="0"/>
        </c:scaling>
        <c:delete val="1"/>
        <c:axPos val="r"/>
        <c:majorGridlines>
          <c:spPr>
            <a:ln w="31750" cap="flat" cmpd="sng" algn="ctr">
              <a:noFill/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crossAx val="390762335"/>
        <c:crosses val="max"/>
        <c:crossBetween val="between"/>
        <c:majorUnit val="1.5000000000000003E-2"/>
      </c:valAx>
      <c:catAx>
        <c:axId val="390762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769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ABS</a:t>
            </a:r>
            <a:r>
              <a:rPr lang="pt-PT" baseline="0"/>
              <a:t>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1"/>
          <c:tx>
            <c:strRef>
              <c:f>'ARIMA ANALYSIS'!$A$5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'ARIMA ANALYSIS'!$B$1:$F$1</c:f>
              <c:strCache>
                <c:ptCount val="5"/>
                <c:pt idx="0">
                  <c:v>Static</c:v>
                </c:pt>
                <c:pt idx="1">
                  <c:v>Monthly</c:v>
                </c:pt>
                <c:pt idx="2">
                  <c:v>Monthly Prop</c:v>
                </c:pt>
                <c:pt idx="3">
                  <c:v>Rolling</c:v>
                </c:pt>
                <c:pt idx="4">
                  <c:v>Rolling Prop</c:v>
                </c:pt>
              </c:strCache>
            </c:strRef>
          </c:cat>
          <c:val>
            <c:numRef>
              <c:f>'ARIMA ANALYSIS'!$B$5:$F$5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EE-481B-853C-DBC2B5C6132B}"/>
            </c:ext>
          </c:extLst>
        </c:ser>
        <c:ser>
          <c:idx val="1"/>
          <c:order val="2"/>
          <c:tx>
            <c:strRef>
              <c:f>'ARIMA ANALYSIS'!$A$3</c:f>
              <c:strCache>
                <c:ptCount val="1"/>
                <c:pt idx="0">
                  <c:v>S&amp;P500</c:v>
                </c:pt>
              </c:strCache>
            </c:strRef>
          </c:tx>
          <c:spPr>
            <a:solidFill>
              <a:srgbClr val="F33621"/>
            </a:solidFill>
            <a:ln>
              <a:noFill/>
            </a:ln>
            <a:effectLst/>
          </c:spPr>
          <c:invertIfNegative val="0"/>
          <c:cat>
            <c:strRef>
              <c:f>'ARIMA ANALYSIS'!$B$1:$F$1</c:f>
              <c:strCache>
                <c:ptCount val="5"/>
                <c:pt idx="0">
                  <c:v>Static</c:v>
                </c:pt>
                <c:pt idx="1">
                  <c:v>Monthly</c:v>
                </c:pt>
                <c:pt idx="2">
                  <c:v>Monthly Prop</c:v>
                </c:pt>
                <c:pt idx="3">
                  <c:v>Rolling</c:v>
                </c:pt>
                <c:pt idx="4">
                  <c:v>Rolling Prop</c:v>
                </c:pt>
              </c:strCache>
            </c:strRef>
          </c:cat>
          <c:val>
            <c:numRef>
              <c:f>'ARIMA ANALYSIS'!$B$3:$F$3</c:f>
              <c:numCache>
                <c:formatCode>0.00%</c:formatCode>
                <c:ptCount val="5"/>
                <c:pt idx="0">
                  <c:v>0.130167169295241</c:v>
                </c:pt>
                <c:pt idx="1">
                  <c:v>5.3669333445252694E-3</c:v>
                </c:pt>
                <c:pt idx="2">
                  <c:v>0.12912372015400433</c:v>
                </c:pt>
                <c:pt idx="3">
                  <c:v>5.5213967295835919E-3</c:v>
                </c:pt>
                <c:pt idx="4">
                  <c:v>0.12555312369212876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E-481B-853C-DBC2B5C6132B}"/>
            </c:ext>
          </c:extLst>
        </c:ser>
        <c:ser>
          <c:idx val="4"/>
          <c:order val="4"/>
          <c:tx>
            <c:strRef>
              <c:f>'ARIMA ANALYSIS'!$A$6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'ARIMA ANALYSIS'!$B$1:$F$1</c:f>
              <c:strCache>
                <c:ptCount val="5"/>
                <c:pt idx="0">
                  <c:v>Static</c:v>
                </c:pt>
                <c:pt idx="1">
                  <c:v>Monthly</c:v>
                </c:pt>
                <c:pt idx="2">
                  <c:v>Monthly Prop</c:v>
                </c:pt>
                <c:pt idx="3">
                  <c:v>Rolling</c:v>
                </c:pt>
                <c:pt idx="4">
                  <c:v>Rolling Prop</c:v>
                </c:pt>
              </c:strCache>
            </c:strRef>
          </c:cat>
          <c:val>
            <c:numRef>
              <c:f>'ARIMA ANALYSIS'!$B$6:$F$6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EE-481B-853C-DBC2B5C6132B}"/>
            </c:ext>
          </c:extLst>
        </c:ser>
        <c:ser>
          <c:idx val="5"/>
          <c:order val="5"/>
          <c:tx>
            <c:strRef>
              <c:f>'ARIMA ANALYSIS'!$A$7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rgbClr val="FFC107"/>
            </a:solidFill>
            <a:ln>
              <a:noFill/>
            </a:ln>
            <a:effectLst/>
          </c:spPr>
          <c:invertIfNegative val="0"/>
          <c:cat>
            <c:strRef>
              <c:f>'ARIMA ANALYSIS'!$B$1:$F$1</c:f>
              <c:strCache>
                <c:ptCount val="5"/>
                <c:pt idx="0">
                  <c:v>Static</c:v>
                </c:pt>
                <c:pt idx="1">
                  <c:v>Monthly</c:v>
                </c:pt>
                <c:pt idx="2">
                  <c:v>Monthly Prop</c:v>
                </c:pt>
                <c:pt idx="3">
                  <c:v>Rolling</c:v>
                </c:pt>
                <c:pt idx="4">
                  <c:v>Rolling Prop</c:v>
                </c:pt>
              </c:strCache>
            </c:strRef>
          </c:cat>
          <c:val>
            <c:numRef>
              <c:f>'ARIMA ANALYSIS'!$B$7:$F$7</c:f>
              <c:numCache>
                <c:formatCode>0.00%</c:formatCode>
                <c:ptCount val="5"/>
                <c:pt idx="0">
                  <c:v>0.11815919350437008</c:v>
                </c:pt>
                <c:pt idx="1">
                  <c:v>4.0144838116363381E-3</c:v>
                </c:pt>
                <c:pt idx="2">
                  <c:v>0.11658479721638716</c:v>
                </c:pt>
                <c:pt idx="3">
                  <c:v>4.3725639207581333E-3</c:v>
                </c:pt>
                <c:pt idx="4">
                  <c:v>0.10299876208610644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EE-481B-853C-DBC2B5C6132B}"/>
            </c:ext>
          </c:extLst>
        </c:ser>
        <c:ser>
          <c:idx val="6"/>
          <c:order val="6"/>
          <c:tx>
            <c:strRef>
              <c:f>'ARIMA ANALYSIS'!$A$8</c:f>
              <c:strCache>
                <c:ptCount val="1"/>
                <c:pt idx="0">
                  <c:v>EUR/USD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cat>
            <c:strRef>
              <c:f>'ARIMA ANALYSIS'!$B$1:$F$1</c:f>
              <c:strCache>
                <c:ptCount val="5"/>
                <c:pt idx="0">
                  <c:v>Static</c:v>
                </c:pt>
                <c:pt idx="1">
                  <c:v>Monthly</c:v>
                </c:pt>
                <c:pt idx="2">
                  <c:v>Monthly Prop</c:v>
                </c:pt>
                <c:pt idx="3">
                  <c:v>Rolling</c:v>
                </c:pt>
                <c:pt idx="4">
                  <c:v>Rolling Prop</c:v>
                </c:pt>
              </c:strCache>
            </c:strRef>
          </c:cat>
          <c:val>
            <c:numRef>
              <c:f>'ARIMA ANALYSIS'!$B$8:$F$8</c:f>
              <c:numCache>
                <c:formatCode>0.00%</c:formatCode>
                <c:ptCount val="5"/>
                <c:pt idx="0">
                  <c:v>5.4821890430214487E-2</c:v>
                </c:pt>
                <c:pt idx="1">
                  <c:v>1.7264471176856864E-3</c:v>
                </c:pt>
                <c:pt idx="2">
                  <c:v>5.4183547798500049E-2</c:v>
                </c:pt>
                <c:pt idx="3">
                  <c:v>1.7571768166273812E-3</c:v>
                </c:pt>
                <c:pt idx="4">
                  <c:v>5.9392464248066379E-2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EE-481B-853C-DBC2B5C61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417236591"/>
        <c:axId val="1417248591"/>
        <c:extLst>
          <c:ext xmlns:c15="http://schemas.microsoft.com/office/drawing/2012/chart" uri="{02D57815-91ED-43cb-92C2-25804820EDAC}">
            <c15:filteredBa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'ARIMA ANALYSIS'!$A$4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'ARIMA ANALYSIS'!$B$1:$F$1</c15:sqref>
                        </c15:formulaRef>
                      </c:ext>
                    </c:extLst>
                    <c:strCache>
                      <c:ptCount val="5"/>
                      <c:pt idx="0">
                        <c:v>Static</c:v>
                      </c:pt>
                      <c:pt idx="1">
                        <c:v>Monthly</c:v>
                      </c:pt>
                      <c:pt idx="2">
                        <c:v>Monthly Prop</c:v>
                      </c:pt>
                      <c:pt idx="3">
                        <c:v>Rolling</c:v>
                      </c:pt>
                      <c:pt idx="4">
                        <c:v>Rolling Prop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'ARIMA ANALYSIS'!$B$4:$F$4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CEE-481B-853C-DBC2B5C6132B}"/>
                  </c:ext>
                </c:extLst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0"/>
          <c:order val="0"/>
          <c:tx>
            <c:strRef>
              <c:f>'ARIMA ANALYSIS'!$A$2</c:f>
              <c:strCache>
                <c:ptCount val="1"/>
                <c:pt idx="0">
                  <c:v>Bitcoin</c:v>
                </c:pt>
              </c:strCache>
            </c:strRef>
          </c:tx>
          <c:spPr>
            <a:solidFill>
              <a:srgbClr val="22BDFF"/>
            </a:solidFill>
            <a:ln>
              <a:noFill/>
            </a:ln>
            <a:effectLst/>
          </c:spPr>
          <c:invertIfNegative val="0"/>
          <c:cat>
            <c:strRef>
              <c:f>'ARIMA ANALYSIS'!$B$1:$F$1</c:f>
              <c:strCache>
                <c:ptCount val="5"/>
                <c:pt idx="0">
                  <c:v>Static</c:v>
                </c:pt>
                <c:pt idx="1">
                  <c:v>Monthly</c:v>
                </c:pt>
                <c:pt idx="2">
                  <c:v>Monthly Prop</c:v>
                </c:pt>
                <c:pt idx="3">
                  <c:v>Rolling</c:v>
                </c:pt>
                <c:pt idx="4">
                  <c:v>Rolling Prop</c:v>
                </c:pt>
              </c:strCache>
            </c:strRef>
          </c:cat>
          <c:val>
            <c:numRef>
              <c:f>'ARIMA ANALYSIS'!$B$2:$F$2</c:f>
              <c:numCache>
                <c:formatCode>0.00%</c:formatCode>
                <c:ptCount val="5"/>
                <c:pt idx="0">
                  <c:v>1.0265439941037653</c:v>
                </c:pt>
                <c:pt idx="1">
                  <c:v>2.3603105615269012E-2</c:v>
                </c:pt>
                <c:pt idx="2">
                  <c:v>0.97926702621680883</c:v>
                </c:pt>
                <c:pt idx="3">
                  <c:v>3.6161156765879422E-2</c:v>
                </c:pt>
                <c:pt idx="4">
                  <c:v>0.69414892117823801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E-481B-853C-DBC2B5C61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1417244751"/>
        <c:axId val="1417241871"/>
      </c:barChart>
      <c:catAx>
        <c:axId val="141723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17248591"/>
        <c:crosses val="autoZero"/>
        <c:auto val="1"/>
        <c:lblAlgn val="ctr"/>
        <c:lblOffset val="100"/>
        <c:noMultiLvlLbl val="0"/>
      </c:catAx>
      <c:valAx>
        <c:axId val="1417248591"/>
        <c:scaling>
          <c:orientation val="minMax"/>
          <c:max val="0.1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  <a:alpha val="5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17236591"/>
        <c:crosses val="autoZero"/>
        <c:crossBetween val="between"/>
      </c:valAx>
      <c:valAx>
        <c:axId val="1417241871"/>
        <c:scaling>
          <c:orientation val="minMax"/>
          <c:max val="1.7000000000000002"/>
          <c:min val="0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2BDFF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17244751"/>
        <c:crosses val="max"/>
        <c:crossBetween val="between"/>
      </c:valAx>
      <c:catAx>
        <c:axId val="1417244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7241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158236</xdr:rowOff>
    </xdr:from>
    <xdr:to>
      <xdr:col>7</xdr:col>
      <xdr:colOff>132522</xdr:colOff>
      <xdr:row>52</xdr:row>
      <xdr:rowOff>71229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249CC0-2B6A-7BE6-B592-D2D2E130B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250843</xdr:colOff>
      <xdr:row>35</xdr:row>
      <xdr:rowOff>147890</xdr:rowOff>
    </xdr:from>
    <xdr:to>
      <xdr:col>15</xdr:col>
      <xdr:colOff>337961</xdr:colOff>
      <xdr:row>52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535996-DC55-4028-86B8-342163FE6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429340</xdr:colOff>
      <xdr:row>35</xdr:row>
      <xdr:rowOff>149940</xdr:rowOff>
    </xdr:from>
    <xdr:to>
      <xdr:col>22</xdr:col>
      <xdr:colOff>387926</xdr:colOff>
      <xdr:row>52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7E0B2A-F4CE-4A5A-B50C-CD9210334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533666</xdr:colOff>
      <xdr:row>35</xdr:row>
      <xdr:rowOff>146931</xdr:rowOff>
    </xdr:from>
    <xdr:to>
      <xdr:col>29</xdr:col>
      <xdr:colOff>228202</xdr:colOff>
      <xdr:row>52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AA9991-B0E2-4990-8E11-ABCABD2D9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15</xdr:col>
      <xdr:colOff>181429</xdr:colOff>
      <xdr:row>24</xdr:row>
      <xdr:rowOff>48315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AF6FA-6F6F-AB6D-D39D-9E9D6BAB9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513404</xdr:colOff>
      <xdr:row>0</xdr:row>
      <xdr:rowOff>1</xdr:rowOff>
    </xdr:from>
    <xdr:to>
      <xdr:col>31</xdr:col>
      <xdr:colOff>86854</xdr:colOff>
      <xdr:row>23</xdr:row>
      <xdr:rowOff>63501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04AB8DC-6F63-4F0A-8B66-620F42A93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15</xdr:col>
      <xdr:colOff>178915</xdr:colOff>
      <xdr:row>49</xdr:row>
      <xdr:rowOff>63500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852BAAD-B650-4079-AFB9-CDF9D8F75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26</xdr:row>
      <xdr:rowOff>0</xdr:rowOff>
    </xdr:from>
    <xdr:to>
      <xdr:col>31</xdr:col>
      <xdr:colOff>178915</xdr:colOff>
      <xdr:row>49</xdr:row>
      <xdr:rowOff>63500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BCCB73F-75DD-4961-B09B-4645AFEEE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0</xdr:colOff>
      <xdr:row>0</xdr:row>
      <xdr:rowOff>6479</xdr:rowOff>
    </xdr:from>
    <xdr:to>
      <xdr:col>43</xdr:col>
      <xdr:colOff>362857</xdr:colOff>
      <xdr:row>23</xdr:row>
      <xdr:rowOff>42765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09CAF65-4D19-4455-AD2D-8DA69BEF3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31750</xdr:colOff>
      <xdr:row>25</xdr:row>
      <xdr:rowOff>105833</xdr:rowOff>
    </xdr:from>
    <xdr:to>
      <xdr:col>43</xdr:col>
      <xdr:colOff>394607</xdr:colOff>
      <xdr:row>48</xdr:row>
      <xdr:rowOff>142120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C73901-2AD5-444E-8C56-72A5DB356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45</xdr:col>
      <xdr:colOff>21167</xdr:colOff>
      <xdr:row>0</xdr:row>
      <xdr:rowOff>10582</xdr:rowOff>
    </xdr:from>
    <xdr:to>
      <xdr:col>55</xdr:col>
      <xdr:colOff>384024</xdr:colOff>
      <xdr:row>25</xdr:row>
      <xdr:rowOff>72571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2C6234-9910-4CC3-921B-F71E0BF20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45</xdr:col>
      <xdr:colOff>0</xdr:colOff>
      <xdr:row>25</xdr:row>
      <xdr:rowOff>181428</xdr:rowOff>
    </xdr:from>
    <xdr:to>
      <xdr:col>55</xdr:col>
      <xdr:colOff>362858</xdr:colOff>
      <xdr:row>54</xdr:row>
      <xdr:rowOff>45356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561127-1150-4097-AA82-E104775B1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0.28917</cdr:x>
      <cdr:y>0.12</cdr:y>
    </cdr:from>
    <cdr:to>
      <cdr:x>0.29032</cdr:x>
      <cdr:y>0.86329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FCF4E392-6C83-5D3F-6D95-12BBB22E0AA0}"/>
            </a:ext>
          </a:extLst>
        </cdr:cNvPr>
        <cdr:cNvCxnSpPr/>
      </cdr:nvCxnSpPr>
      <cdr:spPr>
        <a:xfrm xmlns:a="http://schemas.openxmlformats.org/drawingml/2006/main">
          <a:off x="1876363" y="519829"/>
          <a:ext cx="7471" cy="3219824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chemeClr val="bg2">
              <a:lumMod val="75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354018</xdr:colOff>
      <xdr:row>0</xdr:row>
      <xdr:rowOff>102629</xdr:rowOff>
    </xdr:from>
    <xdr:to>
      <xdr:col>15</xdr:col>
      <xdr:colOff>63500</xdr:colOff>
      <xdr:row>14</xdr:row>
      <xdr:rowOff>119063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98CBF4-9FFD-AE6A-E5C0-0EC071F3B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ago Caetano" id="{D2C2F8F3-BA18-452E-99C1-BE2681F67EA6}" userId="c42986b8170064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7" dT="2026-05-29T12:16:26.44" personId="{D2C2F8F3-BA18-452E-99C1-BE2681F67EA6}" id="{A786A56C-4709-4974-9E77-D6DB9047D7B6}">
    <text>0.49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A58F-66AD-4702-8020-4AF69CEF4C8A}">
  <sheetPr>
    <tabColor rgb="FF4CAF50"/>
  </sheetPr>
  <dimension ref="A1:BG49"/>
  <sheetViews>
    <sheetView tabSelected="1" topLeftCell="A5" zoomScale="63" zoomScaleNormal="71" workbookViewId="0">
      <selection activeCell="W60" sqref="W60"/>
    </sheetView>
  </sheetViews>
  <sheetFormatPr defaultRowHeight="14.5" x14ac:dyDescent="0.35"/>
  <cols>
    <col min="2" max="2" width="13.81640625" customWidth="1"/>
    <col min="3" max="3" width="9.453125" customWidth="1"/>
    <col min="7" max="7" width="9.54296875" customWidth="1"/>
    <col min="10" max="10" width="9.6328125" customWidth="1"/>
    <col min="11" max="11" width="7.6328125" customWidth="1"/>
    <col min="12" max="12" width="14.26953125" customWidth="1"/>
    <col min="13" max="13" width="9.7265625" bestFit="1" customWidth="1"/>
    <col min="14" max="14" width="9.26953125" customWidth="1"/>
    <col min="21" max="21" width="13.81640625" customWidth="1"/>
    <col min="22" max="22" width="13.90625" customWidth="1"/>
    <col min="23" max="23" width="10.26953125" customWidth="1"/>
    <col min="31" max="31" width="10.26953125" customWidth="1"/>
    <col min="32" max="32" width="13.90625" customWidth="1"/>
    <col min="33" max="33" width="9.54296875" bestFit="1" customWidth="1"/>
    <col min="34" max="34" width="10.6328125" bestFit="1" customWidth="1"/>
    <col min="35" max="35" width="8.81640625" bestFit="1" customWidth="1"/>
    <col min="36" max="36" width="10.6328125" bestFit="1" customWidth="1"/>
    <col min="37" max="37" width="9.54296875" bestFit="1" customWidth="1"/>
    <col min="38" max="38" width="10.6328125" bestFit="1" customWidth="1"/>
    <col min="39" max="39" width="8.81640625" bestFit="1" customWidth="1"/>
    <col min="40" max="40" width="9.54296875" bestFit="1" customWidth="1"/>
    <col min="41" max="41" width="11.26953125" customWidth="1"/>
    <col min="42" max="42" width="11.6328125" customWidth="1"/>
    <col min="43" max="43" width="11.7265625" customWidth="1"/>
    <col min="44" max="44" width="12.453125" customWidth="1"/>
    <col min="45" max="45" width="12.7265625" customWidth="1"/>
    <col min="46" max="46" width="11.1796875" customWidth="1"/>
    <col min="47" max="47" width="12.453125" customWidth="1"/>
    <col min="49" max="49" width="10.54296875" customWidth="1"/>
  </cols>
  <sheetData>
    <row r="1" spans="1:59" ht="15" thickBot="1" x14ac:dyDescent="0.4">
      <c r="C1" s="548" t="s">
        <v>35</v>
      </c>
      <c r="D1" s="549"/>
      <c r="E1" s="549"/>
      <c r="F1" s="549"/>
      <c r="G1" s="549"/>
      <c r="H1" s="549"/>
      <c r="I1" s="549"/>
      <c r="J1" s="550"/>
      <c r="K1" s="550"/>
      <c r="L1" s="551"/>
      <c r="M1" s="469" t="s">
        <v>36</v>
      </c>
      <c r="N1" s="470"/>
      <c r="O1" s="470"/>
      <c r="P1" s="470"/>
      <c r="Q1" s="470"/>
      <c r="R1" s="470"/>
      <c r="S1" s="470"/>
      <c r="T1" s="471"/>
      <c r="U1" s="471"/>
      <c r="V1" s="472"/>
      <c r="W1" s="473" t="s">
        <v>38</v>
      </c>
      <c r="X1" s="474"/>
      <c r="Y1" s="474"/>
      <c r="Z1" s="474"/>
      <c r="AA1" s="474"/>
      <c r="AB1" s="474"/>
      <c r="AC1" s="474"/>
      <c r="AD1" s="475"/>
      <c r="AE1" s="475"/>
      <c r="AF1" s="476"/>
      <c r="AG1" s="477" t="s">
        <v>39</v>
      </c>
      <c r="AH1" s="478"/>
      <c r="AI1" s="478"/>
      <c r="AJ1" s="478"/>
      <c r="AK1" s="478"/>
      <c r="AL1" s="478"/>
      <c r="AM1" s="478"/>
      <c r="AN1" s="479"/>
      <c r="AO1" s="479"/>
      <c r="AP1" s="480"/>
      <c r="AQ1" s="529" t="s">
        <v>213</v>
      </c>
      <c r="AR1" s="530"/>
      <c r="AS1" s="530"/>
      <c r="AT1" s="530"/>
      <c r="AU1" s="530"/>
      <c r="AV1" s="530"/>
      <c r="AW1" s="530"/>
      <c r="AX1" s="530"/>
      <c r="AY1" s="530"/>
      <c r="AZ1" s="530"/>
      <c r="BA1" s="530"/>
      <c r="BB1" s="530"/>
      <c r="BC1" s="530"/>
      <c r="BD1" s="530"/>
      <c r="BE1" s="530"/>
      <c r="BF1" s="530"/>
      <c r="BG1" s="530"/>
    </row>
    <row r="2" spans="1:59" x14ac:dyDescent="0.35">
      <c r="C2" s="535" t="s">
        <v>45</v>
      </c>
      <c r="D2" s="536"/>
      <c r="E2" s="536"/>
      <c r="F2" s="537"/>
      <c r="G2" s="538" t="s">
        <v>44</v>
      </c>
      <c r="H2" s="536"/>
      <c r="I2" s="536"/>
      <c r="J2" s="537"/>
      <c r="K2" s="538" t="s">
        <v>182</v>
      </c>
      <c r="L2" s="539"/>
      <c r="M2" s="535" t="s">
        <v>45</v>
      </c>
      <c r="N2" s="536"/>
      <c r="O2" s="536"/>
      <c r="P2" s="537"/>
      <c r="Q2" s="538" t="s">
        <v>44</v>
      </c>
      <c r="R2" s="536"/>
      <c r="S2" s="536"/>
      <c r="T2" s="537"/>
      <c r="U2" s="538" t="s">
        <v>182</v>
      </c>
      <c r="V2" s="539"/>
      <c r="W2" s="535" t="s">
        <v>45</v>
      </c>
      <c r="X2" s="536"/>
      <c r="Y2" s="536"/>
      <c r="Z2" s="537"/>
      <c r="AA2" s="538" t="s">
        <v>44</v>
      </c>
      <c r="AB2" s="536"/>
      <c r="AC2" s="536"/>
      <c r="AD2" s="537"/>
      <c r="AE2" s="538" t="s">
        <v>182</v>
      </c>
      <c r="AF2" s="539"/>
      <c r="AG2" s="535" t="s">
        <v>45</v>
      </c>
      <c r="AH2" s="536"/>
      <c r="AI2" s="536"/>
      <c r="AJ2" s="537"/>
      <c r="AK2" s="538" t="s">
        <v>44</v>
      </c>
      <c r="AL2" s="536"/>
      <c r="AM2" s="536"/>
      <c r="AN2" s="537"/>
      <c r="AO2" s="538" t="s">
        <v>182</v>
      </c>
      <c r="AP2" s="539"/>
      <c r="AQ2" s="242" t="s">
        <v>37</v>
      </c>
      <c r="AR2" s="523" t="s">
        <v>35</v>
      </c>
      <c r="AS2" s="524"/>
      <c r="AT2" s="524"/>
      <c r="AU2" s="524"/>
      <c r="AV2" s="525" t="s">
        <v>36</v>
      </c>
      <c r="AW2" s="525"/>
      <c r="AX2" s="525"/>
      <c r="AY2" s="525"/>
      <c r="AZ2" s="526" t="s">
        <v>38</v>
      </c>
      <c r="BA2" s="526"/>
      <c r="BB2" s="526"/>
      <c r="BC2" s="526"/>
      <c r="BD2" s="527" t="s">
        <v>39</v>
      </c>
      <c r="BE2" s="527"/>
      <c r="BF2" s="527"/>
      <c r="BG2" s="528"/>
    </row>
    <row r="3" spans="1:59" ht="15" thickBot="1" x14ac:dyDescent="0.4">
      <c r="A3" s="481" t="s">
        <v>54</v>
      </c>
      <c r="B3" s="542"/>
      <c r="C3" s="338" t="s">
        <v>117</v>
      </c>
      <c r="D3" s="91" t="s">
        <v>124</v>
      </c>
      <c r="E3" s="91" t="s">
        <v>125</v>
      </c>
      <c r="F3" s="375" t="s">
        <v>118</v>
      </c>
      <c r="G3" s="337" t="s">
        <v>117</v>
      </c>
      <c r="H3" s="91" t="s">
        <v>124</v>
      </c>
      <c r="I3" s="91" t="s">
        <v>125</v>
      </c>
      <c r="J3" s="375" t="s">
        <v>118</v>
      </c>
      <c r="K3" s="540"/>
      <c r="L3" s="541"/>
      <c r="M3" s="338" t="s">
        <v>117</v>
      </c>
      <c r="N3" s="91" t="s">
        <v>124</v>
      </c>
      <c r="O3" s="91" t="s">
        <v>125</v>
      </c>
      <c r="P3" s="375" t="s">
        <v>118</v>
      </c>
      <c r="Q3" s="337" t="s">
        <v>117</v>
      </c>
      <c r="R3" s="91" t="s">
        <v>124</v>
      </c>
      <c r="S3" s="91" t="s">
        <v>125</v>
      </c>
      <c r="T3" s="375" t="s">
        <v>118</v>
      </c>
      <c r="U3" s="540"/>
      <c r="V3" s="541"/>
      <c r="W3" s="338" t="s">
        <v>117</v>
      </c>
      <c r="X3" s="91" t="s">
        <v>124</v>
      </c>
      <c r="Y3" s="91" t="s">
        <v>125</v>
      </c>
      <c r="Z3" s="375" t="s">
        <v>118</v>
      </c>
      <c r="AA3" s="337" t="s">
        <v>117</v>
      </c>
      <c r="AB3" s="91" t="s">
        <v>124</v>
      </c>
      <c r="AC3" s="91" t="s">
        <v>125</v>
      </c>
      <c r="AD3" s="375" t="s">
        <v>118</v>
      </c>
      <c r="AE3" s="540"/>
      <c r="AF3" s="541"/>
      <c r="AG3" s="338" t="s">
        <v>117</v>
      </c>
      <c r="AH3" s="91" t="s">
        <v>124</v>
      </c>
      <c r="AI3" s="91" t="s">
        <v>125</v>
      </c>
      <c r="AJ3" s="375" t="s">
        <v>118</v>
      </c>
      <c r="AK3" s="337" t="s">
        <v>117</v>
      </c>
      <c r="AL3" s="91" t="s">
        <v>124</v>
      </c>
      <c r="AM3" s="91" t="s">
        <v>125</v>
      </c>
      <c r="AN3" s="375" t="s">
        <v>118</v>
      </c>
      <c r="AO3" s="540"/>
      <c r="AP3" s="541"/>
      <c r="AQ3" s="242" t="s">
        <v>215</v>
      </c>
      <c r="AR3" s="416" t="s">
        <v>117</v>
      </c>
      <c r="AS3" s="417" t="s">
        <v>124</v>
      </c>
      <c r="AT3" s="417" t="s">
        <v>125</v>
      </c>
      <c r="AU3" s="417" t="s">
        <v>118</v>
      </c>
      <c r="AV3" s="418" t="s">
        <v>117</v>
      </c>
      <c r="AW3" s="418" t="s">
        <v>124</v>
      </c>
      <c r="AX3" s="418" t="s">
        <v>125</v>
      </c>
      <c r="AY3" s="418" t="s">
        <v>118</v>
      </c>
      <c r="AZ3" s="419" t="s">
        <v>117</v>
      </c>
      <c r="BA3" s="419" t="s">
        <v>124</v>
      </c>
      <c r="BB3" s="419" t="s">
        <v>125</v>
      </c>
      <c r="BC3" s="419" t="s">
        <v>118</v>
      </c>
      <c r="BD3" s="420" t="s">
        <v>117</v>
      </c>
      <c r="BE3" s="420" t="s">
        <v>124</v>
      </c>
      <c r="BF3" s="420" t="s">
        <v>125</v>
      </c>
      <c r="BG3" s="421" t="s">
        <v>118</v>
      </c>
    </row>
    <row r="4" spans="1:59" ht="16" customHeight="1" x14ac:dyDescent="0.35">
      <c r="A4" s="545">
        <v>2020</v>
      </c>
      <c r="B4" s="241" t="s">
        <v>55</v>
      </c>
      <c r="C4" s="376">
        <v>0.41475333283121191</v>
      </c>
      <c r="D4" s="377">
        <v>0.40075167583038329</v>
      </c>
      <c r="E4" s="377">
        <v>0.13678391202831963</v>
      </c>
      <c r="F4" s="378">
        <v>0.42665963696618198</v>
      </c>
      <c r="G4" s="377">
        <v>0.46569556375687299</v>
      </c>
      <c r="H4" s="377">
        <v>0.38329441891993671</v>
      </c>
      <c r="I4" s="377">
        <v>0.14652557053551254</v>
      </c>
      <c r="J4" s="379">
        <v>0.4603464638095956</v>
      </c>
      <c r="K4" s="552" t="s">
        <v>181</v>
      </c>
      <c r="L4" s="553"/>
      <c r="M4" s="376">
        <v>0.19948593402145312</v>
      </c>
      <c r="N4" s="377">
        <v>0.20194292653309051</v>
      </c>
      <c r="O4" s="377">
        <v>0.19862780813600486</v>
      </c>
      <c r="P4" s="378">
        <v>0.19947783849423192</v>
      </c>
      <c r="Q4" s="377">
        <v>0.3206800242865816</v>
      </c>
      <c r="R4" s="377">
        <v>0.31860756931795181</v>
      </c>
      <c r="S4" s="377">
        <v>0.30886460230722534</v>
      </c>
      <c r="T4" s="379">
        <v>0.32095931997571336</v>
      </c>
      <c r="U4" s="554" t="s">
        <v>189</v>
      </c>
      <c r="V4" s="555"/>
      <c r="W4" s="376">
        <v>-3.604570418534063E-3</v>
      </c>
      <c r="X4" s="377">
        <v>-8.8188876964836824E-3</v>
      </c>
      <c r="Y4" s="377">
        <v>8.711571239190134E-4</v>
      </c>
      <c r="Z4" s="378">
        <v>-3.6108831513160787E-3</v>
      </c>
      <c r="AA4" s="377">
        <v>-1.7928161100940511E-2</v>
      </c>
      <c r="AB4" s="377">
        <v>-1.9929297392841321E-2</v>
      </c>
      <c r="AC4" s="413">
        <v>-1.0662205668833958E-2</v>
      </c>
      <c r="AD4" s="379">
        <v>-1.7928161100940511E-2</v>
      </c>
      <c r="AE4" s="552" t="s">
        <v>194</v>
      </c>
      <c r="AF4" s="553"/>
      <c r="AG4" s="376">
        <v>6.0207991242473445E-3</v>
      </c>
      <c r="AH4" s="377">
        <v>7.2067141032658433E-3</v>
      </c>
      <c r="AI4" s="377">
        <v>9.3048713738368791E-3</v>
      </c>
      <c r="AJ4" s="378">
        <v>6.0207991242473445E-3</v>
      </c>
      <c r="AK4" s="377">
        <v>2.3718299580368564E-2</v>
      </c>
      <c r="AL4" s="377">
        <v>2.6637474913336883E-2</v>
      </c>
      <c r="AM4" s="377">
        <v>2.773216566320013E-2</v>
      </c>
      <c r="AN4" s="379">
        <v>2.3718299580368564E-2</v>
      </c>
      <c r="AO4" s="552" t="s">
        <v>200</v>
      </c>
      <c r="AP4" s="553"/>
      <c r="AQ4" s="242" t="s">
        <v>214</v>
      </c>
      <c r="AR4" s="517">
        <v>88812.1</v>
      </c>
      <c r="AS4" s="518"/>
      <c r="AT4" s="518"/>
      <c r="AU4" s="518"/>
      <c r="AV4" s="522">
        <v>6845.5</v>
      </c>
      <c r="AW4" s="522"/>
      <c r="AX4" s="522"/>
      <c r="AY4" s="522"/>
      <c r="AZ4" s="521">
        <v>4361.55</v>
      </c>
      <c r="BA4" s="521"/>
      <c r="BB4" s="521"/>
      <c r="BC4" s="521"/>
      <c r="BD4" s="519">
        <v>1.1746000000000001</v>
      </c>
      <c r="BE4" s="519"/>
      <c r="BF4" s="519"/>
      <c r="BG4" s="520"/>
    </row>
    <row r="5" spans="1:59" ht="14.5" customHeight="1" x14ac:dyDescent="0.35">
      <c r="A5" s="546"/>
      <c r="B5" s="242" t="s">
        <v>56</v>
      </c>
      <c r="C5" s="372">
        <v>0.22329927734861707</v>
      </c>
      <c r="D5" s="345">
        <v>0.2017508315366365</v>
      </c>
      <c r="E5" s="345">
        <v>0.1566430838903998</v>
      </c>
      <c r="F5" s="373">
        <v>0.21777809077021418</v>
      </c>
      <c r="G5" s="345">
        <v>0.41518217965525089</v>
      </c>
      <c r="H5" s="345">
        <v>0.26726075038732827</v>
      </c>
      <c r="I5" s="345">
        <v>-0.12689844960400432</v>
      </c>
      <c r="J5" s="383">
        <v>0.41036847636485768</v>
      </c>
      <c r="K5" s="533"/>
      <c r="L5" s="534"/>
      <c r="M5" s="372">
        <v>-1.5992169196700767E-2</v>
      </c>
      <c r="N5" s="345">
        <v>-1.6393337398504421E-2</v>
      </c>
      <c r="O5" s="345">
        <v>-1.3116595526172179E-2</v>
      </c>
      <c r="P5" s="373">
        <v>-1.600179723354412E-2</v>
      </c>
      <c r="Q5" s="345">
        <v>5.7588497705317904E-2</v>
      </c>
      <c r="R5" s="345">
        <v>5.4064636220674617E-2</v>
      </c>
      <c r="S5" s="345">
        <v>3.889085015565321E-2</v>
      </c>
      <c r="T5" s="383">
        <v>5.7809942552713538E-2</v>
      </c>
      <c r="U5" s="531"/>
      <c r="V5" s="532"/>
      <c r="W5" s="372">
        <v>-1.3135569414012083E-2</v>
      </c>
      <c r="X5" s="345">
        <v>-1.3798528007191512E-2</v>
      </c>
      <c r="Y5" s="345">
        <v>-8.5454239002191335E-3</v>
      </c>
      <c r="Z5" s="373">
        <v>-1.3135569414012083E-2</v>
      </c>
      <c r="AA5" s="345">
        <v>-0.10746109331984942</v>
      </c>
      <c r="AB5" s="345">
        <v>-0.10910163492331032</v>
      </c>
      <c r="AC5" s="412">
        <v>-9.4977245912691827E-2</v>
      </c>
      <c r="AD5" s="383">
        <v>-0.10746109331984942</v>
      </c>
      <c r="AE5" s="533"/>
      <c r="AF5" s="534"/>
      <c r="AG5" s="372">
        <v>-9.9555555555556428E-3</v>
      </c>
      <c r="AH5" s="345">
        <v>-7.8222222222221506E-3</v>
      </c>
      <c r="AI5" s="345">
        <v>-7.7333333333332709E-3</v>
      </c>
      <c r="AJ5" s="373">
        <v>-9.9555555555556428E-3</v>
      </c>
      <c r="AK5" s="345">
        <v>-1.4222222222222631E-3</v>
      </c>
      <c r="AL5" s="345">
        <v>3.3777777777778007E-3</v>
      </c>
      <c r="AM5" s="345">
        <v>5.511111111111096E-3</v>
      </c>
      <c r="AN5" s="383">
        <v>-1.3333333333333838E-3</v>
      </c>
      <c r="AO5" s="533"/>
      <c r="AP5" s="534"/>
      <c r="AQ5" s="242" t="s">
        <v>1</v>
      </c>
      <c r="AR5" s="430">
        <v>8728751.6699999999</v>
      </c>
      <c r="AS5" s="426">
        <v>2449202.48</v>
      </c>
      <c r="AT5" s="426">
        <v>41325.33</v>
      </c>
      <c r="AU5" s="422">
        <v>8747194.7699999996</v>
      </c>
      <c r="AV5" s="423">
        <v>4104.3900000000003</v>
      </c>
      <c r="AW5" s="427">
        <v>3934.46</v>
      </c>
      <c r="AX5" s="427">
        <v>3316.06</v>
      </c>
      <c r="AY5" s="423">
        <v>4105.26</v>
      </c>
      <c r="AZ5" s="424">
        <v>2523.25</v>
      </c>
      <c r="BA5" s="428">
        <v>2528.42</v>
      </c>
      <c r="BB5" s="428">
        <v>2959.86</v>
      </c>
      <c r="BC5" s="424">
        <v>2523.2399999999998</v>
      </c>
      <c r="BD5" s="425">
        <v>1.1509</v>
      </c>
      <c r="BE5" s="429">
        <v>1.2084999999999999</v>
      </c>
      <c r="BF5" s="429">
        <v>1.224</v>
      </c>
      <c r="BG5" s="431">
        <v>1.1511</v>
      </c>
    </row>
    <row r="6" spans="1:59" ht="15" thickBot="1" x14ac:dyDescent="0.4">
      <c r="A6" s="546"/>
      <c r="B6" s="242" t="s">
        <v>57</v>
      </c>
      <c r="C6" s="372">
        <v>0.23645591073866584</v>
      </c>
      <c r="D6" s="345">
        <v>0.22066851843133567</v>
      </c>
      <c r="E6" s="345">
        <v>4.1074337366413971E-2</v>
      </c>
      <c r="F6" s="373">
        <v>0.23548985452662308</v>
      </c>
      <c r="G6" s="345">
        <v>0.65639941622334175</v>
      </c>
      <c r="H6" s="345">
        <v>0.40653641542300278</v>
      </c>
      <c r="I6" s="345">
        <v>-0.18791299844640078</v>
      </c>
      <c r="J6" s="383">
        <v>0.65118308930841295</v>
      </c>
      <c r="K6" s="531"/>
      <c r="L6" s="532"/>
      <c r="M6" s="372">
        <v>4.7441433980123009E-2</v>
      </c>
      <c r="N6" s="345">
        <v>4.6829152863227551E-2</v>
      </c>
      <c r="O6" s="345">
        <v>4.779342167534309E-2</v>
      </c>
      <c r="P6" s="373">
        <v>4.7207761476573559E-2</v>
      </c>
      <c r="Q6" s="345">
        <v>-1.5434216753431226E-2</v>
      </c>
      <c r="R6" s="345">
        <v>-2.0459654519640342E-2</v>
      </c>
      <c r="S6" s="345">
        <v>-4.1451727401798484E-2</v>
      </c>
      <c r="T6" s="383">
        <v>-1.5227165168007577E-2</v>
      </c>
      <c r="U6" s="531"/>
      <c r="V6" s="532"/>
      <c r="W6" s="372">
        <v>3.8864194948491311E-2</v>
      </c>
      <c r="X6" s="345">
        <v>3.586780316895892E-2</v>
      </c>
      <c r="Y6" s="345">
        <v>3.6631281702661694E-2</v>
      </c>
      <c r="Z6" s="373">
        <v>3.8885112168592861E-2</v>
      </c>
      <c r="AA6" s="345">
        <v>-0.15147204936463937</v>
      </c>
      <c r="AB6" s="345">
        <v>-0.15284735658630966</v>
      </c>
      <c r="AC6" s="412">
        <v>-0.13358782617790099</v>
      </c>
      <c r="AD6" s="383">
        <v>-0.15147727866966473</v>
      </c>
      <c r="AE6" s="533"/>
      <c r="AF6" s="534"/>
      <c r="AG6" s="372">
        <v>1.4471780028943478E-2</v>
      </c>
      <c r="AH6" s="345">
        <v>1.6259470503107085E-2</v>
      </c>
      <c r="AI6" s="345">
        <v>1.7025623563463026E-2</v>
      </c>
      <c r="AJ6" s="373">
        <v>1.4471780028943478E-2</v>
      </c>
      <c r="AK6" s="345">
        <v>-4.2564058908657568E-2</v>
      </c>
      <c r="AL6" s="345">
        <v>-3.6094321954541576E-2</v>
      </c>
      <c r="AM6" s="345">
        <v>-3.3285094066570299E-2</v>
      </c>
      <c r="AN6" s="383">
        <v>-4.2564058908657568E-2</v>
      </c>
      <c r="AO6" s="533"/>
      <c r="AP6" s="534"/>
      <c r="AQ6" s="242" t="s">
        <v>10</v>
      </c>
      <c r="AR6" s="432">
        <f>(AR5-AR4)/AR4</f>
        <v>97.283360825833412</v>
      </c>
      <c r="AS6" s="433">
        <f>(AS5-AR4)/AR4</f>
        <v>26.577351284340757</v>
      </c>
      <c r="AT6" s="433">
        <f>(AT5-AR4)/AR4</f>
        <v>-0.53468806615314801</v>
      </c>
      <c r="AU6" s="434">
        <f>(AU5-AR4)/AR4</f>
        <v>97.491025096805501</v>
      </c>
      <c r="AV6" s="435">
        <f t="shared" ref="AV6" si="0">(AV5-AV4)/AV4</f>
        <v>-0.40042509677890581</v>
      </c>
      <c r="AW6" s="436">
        <f t="shared" ref="AW6" si="1">(AW5-AV4)/AV4</f>
        <v>-0.42524870352786504</v>
      </c>
      <c r="AX6" s="436">
        <f t="shared" ref="AX6" si="2">(AX5-AV4)/AV4</f>
        <v>-0.51558542107954131</v>
      </c>
      <c r="AY6" s="437">
        <f t="shared" ref="AY6" si="3">(AY5-AV4)/AV4</f>
        <v>-0.40029800598933601</v>
      </c>
      <c r="AZ6" s="438">
        <f t="shared" ref="AZ6" si="4">(AZ5-AZ4)/AZ4</f>
        <v>-0.42147860279029248</v>
      </c>
      <c r="BA6" s="439">
        <f t="shared" ref="BA6" si="5">(BA5-AZ4)/AZ4</f>
        <v>-0.42029324437413307</v>
      </c>
      <c r="BB6" s="439">
        <f t="shared" ref="BB6" si="6">(BB5-AZ4)/AZ4</f>
        <v>-0.32137428207861884</v>
      </c>
      <c r="BC6" s="440">
        <f t="shared" ref="BC6" si="7">(BC5-AZ4)/AZ4</f>
        <v>-0.42148089555318646</v>
      </c>
      <c r="BD6" s="441">
        <f t="shared" ref="BD6" si="8">(BD5-BD4)/BD4</f>
        <v>-2.0177081559679937E-2</v>
      </c>
      <c r="BE6" s="442">
        <f t="shared" ref="BE6" si="9">(BE5-BD4)/BD4</f>
        <v>2.8860888813212852E-2</v>
      </c>
      <c r="BF6" s="442">
        <f t="shared" ref="BF6" si="10">(BF5-BD4)/BD4</f>
        <v>4.2056870423974019E-2</v>
      </c>
      <c r="BG6" s="443">
        <f t="shared" ref="BG6" si="11">(BG5-BD4)/BD4</f>
        <v>-2.000681082921852E-2</v>
      </c>
    </row>
    <row r="7" spans="1:59" ht="15" thickBot="1" x14ac:dyDescent="0.4">
      <c r="A7" s="547"/>
      <c r="B7" s="242" t="s">
        <v>58</v>
      </c>
      <c r="C7" s="380">
        <v>-0.29695434929955494</v>
      </c>
      <c r="D7" s="381">
        <v>-0.30107561674256395</v>
      </c>
      <c r="E7" s="381">
        <v>-0.31829774624572976</v>
      </c>
      <c r="F7" s="382">
        <v>-0.29225474201206403</v>
      </c>
      <c r="G7" s="381">
        <v>-0.19303199261577869</v>
      </c>
      <c r="H7" s="381">
        <v>-0.35020759607491853</v>
      </c>
      <c r="I7" s="381">
        <v>-0.68316922060361229</v>
      </c>
      <c r="J7" s="385">
        <v>-0.19536987523799471</v>
      </c>
      <c r="K7" s="533" t="s">
        <v>183</v>
      </c>
      <c r="L7" s="534"/>
      <c r="M7" s="380">
        <v>-2.0547908735124156E-2</v>
      </c>
      <c r="N7" s="381">
        <v>-2.1357258858922767E-2</v>
      </c>
      <c r="O7" s="381">
        <v>-1.1038044780490412E-2</v>
      </c>
      <c r="P7" s="382">
        <v>-2.0995181171960312E-2</v>
      </c>
      <c r="Q7" s="381">
        <v>-0.10485876307872531</v>
      </c>
      <c r="R7" s="381">
        <v>-0.11101674609302196</v>
      </c>
      <c r="S7" s="381">
        <v>-0.13627698943052632</v>
      </c>
      <c r="T7" s="385">
        <v>-0.10467239956337687</v>
      </c>
      <c r="U7" s="533" t="s">
        <v>190</v>
      </c>
      <c r="V7" s="534"/>
      <c r="W7" s="380">
        <v>-3.3961268534641917E-2</v>
      </c>
      <c r="X7" s="381">
        <v>-3.3787135243522753E-2</v>
      </c>
      <c r="Y7" s="381">
        <v>-2.9328267637591648E-2</v>
      </c>
      <c r="Z7" s="382">
        <v>-3.4014036198617391E-2</v>
      </c>
      <c r="AA7" s="381">
        <v>-0.12544456756899375</v>
      </c>
      <c r="AB7" s="381">
        <v>-0.12678486623397181</v>
      </c>
      <c r="AC7" s="411">
        <v>-0.10211070655902063</v>
      </c>
      <c r="AD7" s="385">
        <v>-0.12544984433539128</v>
      </c>
      <c r="AE7" s="533"/>
      <c r="AF7" s="534"/>
      <c r="AG7" s="380">
        <v>-1.1053795136330195E-2</v>
      </c>
      <c r="AH7" s="381">
        <v>-9.57995578481949E-3</v>
      </c>
      <c r="AI7" s="381">
        <v>-1.2281994595922479E-2</v>
      </c>
      <c r="AJ7" s="382">
        <v>-1.1053795136330195E-2</v>
      </c>
      <c r="AK7" s="381">
        <v>-7.811348563006644E-2</v>
      </c>
      <c r="AL7" s="381">
        <v>-6.9925489232784854E-2</v>
      </c>
      <c r="AM7" s="381">
        <v>-6.673217063784502E-2</v>
      </c>
      <c r="AN7" s="385">
        <v>-7.8031605666093642E-2</v>
      </c>
      <c r="AO7" s="533"/>
      <c r="AP7" s="534"/>
      <c r="AQ7" s="91"/>
      <c r="AR7" s="91"/>
      <c r="AS7" s="91"/>
      <c r="AT7" s="91"/>
      <c r="AU7" s="91"/>
    </row>
    <row r="8" spans="1:59" ht="14.5" customHeight="1" x14ac:dyDescent="0.35">
      <c r="A8" s="545">
        <v>2021</v>
      </c>
      <c r="B8" s="241" t="s">
        <v>59</v>
      </c>
      <c r="C8" s="376">
        <v>-6.3089360557100599E-2</v>
      </c>
      <c r="D8" s="377">
        <v>-8.2914525795195121E-2</v>
      </c>
      <c r="E8" s="377">
        <v>-0.14875600962561933</v>
      </c>
      <c r="F8" s="378">
        <v>-5.9713922235487112E-2</v>
      </c>
      <c r="G8" s="377">
        <v>-0.33530671017382996</v>
      </c>
      <c r="H8" s="377">
        <v>-0.37183109865237923</v>
      </c>
      <c r="I8" s="377">
        <v>0.23630316272780363</v>
      </c>
      <c r="J8" s="379">
        <v>-0.33471575301056061</v>
      </c>
      <c r="K8" s="533"/>
      <c r="L8" s="534"/>
      <c r="M8" s="376">
        <v>-2.5552874449613239E-2</v>
      </c>
      <c r="N8" s="377">
        <v>-2.5769297743725005E-2</v>
      </c>
      <c r="O8" s="377">
        <v>-2.7052911763974227E-2</v>
      </c>
      <c r="P8" s="378">
        <v>-2.5565312569964423E-2</v>
      </c>
      <c r="Q8" s="377">
        <v>-5.5618298962660746E-2</v>
      </c>
      <c r="R8" s="377">
        <v>-5.6048657926814086E-2</v>
      </c>
      <c r="S8" s="377">
        <v>-4.7438991019677176E-2</v>
      </c>
      <c r="T8" s="379">
        <v>-5.5048633050573385E-2</v>
      </c>
      <c r="U8" s="533"/>
      <c r="V8" s="534"/>
      <c r="W8" s="376">
        <v>4.9788687547039521E-3</v>
      </c>
      <c r="X8" s="377">
        <v>5.0830776356162637E-3</v>
      </c>
      <c r="Y8" s="377">
        <v>1.1121403346262975E-2</v>
      </c>
      <c r="Z8" s="378">
        <v>4.9788687547039521E-3</v>
      </c>
      <c r="AA8" s="377">
        <v>0.12215017657615933</v>
      </c>
      <c r="AB8" s="377">
        <v>0.12383488681757662</v>
      </c>
      <c r="AC8" s="413">
        <v>0.10136629421640719</v>
      </c>
      <c r="AD8" s="379">
        <v>0.12215596595843224</v>
      </c>
      <c r="AE8" s="533" t="s">
        <v>195</v>
      </c>
      <c r="AF8" s="534"/>
      <c r="AG8" s="376">
        <v>2.3779193205944821E-2</v>
      </c>
      <c r="AH8" s="377">
        <v>2.5392781316348229E-2</v>
      </c>
      <c r="AI8" s="377">
        <v>2.4458598726114597E-2</v>
      </c>
      <c r="AJ8" s="378">
        <v>2.3779193205944821E-2</v>
      </c>
      <c r="AK8" s="377">
        <v>3.9405520169851375E-2</v>
      </c>
      <c r="AL8" s="377">
        <v>4.2887473460721859E-2</v>
      </c>
      <c r="AM8" s="377">
        <v>4.6199575371549895E-2</v>
      </c>
      <c r="AN8" s="379">
        <v>3.9320594479830155E-2</v>
      </c>
      <c r="AO8" s="533"/>
      <c r="AP8" s="534"/>
      <c r="AQ8" s="91"/>
      <c r="AR8" s="91"/>
      <c r="AS8" s="91"/>
      <c r="AT8" s="91"/>
      <c r="AU8" s="91"/>
    </row>
    <row r="9" spans="1:59" x14ac:dyDescent="0.35">
      <c r="A9" s="546"/>
      <c r="B9" s="242" t="s">
        <v>60</v>
      </c>
      <c r="C9" s="372">
        <v>0.18461554514124895</v>
      </c>
      <c r="D9" s="345">
        <v>0.17109612563946627</v>
      </c>
      <c r="E9" s="345">
        <v>6.0823525203019299E-2</v>
      </c>
      <c r="F9" s="373">
        <v>0.20798572604013893</v>
      </c>
      <c r="G9" s="345">
        <v>0.56969496416604071</v>
      </c>
      <c r="H9" s="345">
        <v>0.39030098140927028</v>
      </c>
      <c r="I9" s="345">
        <v>1.7423559188638074</v>
      </c>
      <c r="J9" s="383">
        <v>0.57149232640503711</v>
      </c>
      <c r="K9" s="531" t="s">
        <v>184</v>
      </c>
      <c r="L9" s="532"/>
      <c r="M9" s="372">
        <v>-2.337554110048834E-2</v>
      </c>
      <c r="N9" s="345">
        <v>-2.353989675686928E-2</v>
      </c>
      <c r="O9" s="345">
        <v>-2.2627838607375172E-2</v>
      </c>
      <c r="P9" s="373">
        <v>-2.3387115442487037E-2</v>
      </c>
      <c r="Q9" s="345">
        <v>-0.11125720502789405</v>
      </c>
      <c r="R9" s="345">
        <v>-0.11260214356813812</v>
      </c>
      <c r="S9" s="345">
        <v>-9.6863353318363765E-2</v>
      </c>
      <c r="T9" s="383">
        <v>-0.11072247042755609</v>
      </c>
      <c r="U9" s="533"/>
      <c r="V9" s="534"/>
      <c r="W9" s="372">
        <v>7.9496848266546599E-2</v>
      </c>
      <c r="X9" s="345">
        <v>8.0200360198108958E-2</v>
      </c>
      <c r="Y9" s="345">
        <v>7.7414452949121998E-2</v>
      </c>
      <c r="Z9" s="373">
        <v>7.9496848266546599E-2</v>
      </c>
      <c r="AA9" s="345">
        <v>0.11575303917154439</v>
      </c>
      <c r="AB9" s="345">
        <v>0.12004727600180097</v>
      </c>
      <c r="AC9" s="412">
        <v>7.2495497523637972E-2</v>
      </c>
      <c r="AD9" s="383">
        <v>0.11576429536244938</v>
      </c>
      <c r="AE9" s="533"/>
      <c r="AF9" s="534"/>
      <c r="AG9" s="372">
        <v>3.1313301823092429E-2</v>
      </c>
      <c r="AH9" s="345">
        <v>3.3254557731262555E-2</v>
      </c>
      <c r="AI9" s="345">
        <v>3.283254557731257E-2</v>
      </c>
      <c r="AJ9" s="373">
        <v>3.1397704253882427E-2</v>
      </c>
      <c r="AK9" s="345">
        <v>3.5111411208642689E-2</v>
      </c>
      <c r="AL9" s="345">
        <v>4.0850776502363267E-2</v>
      </c>
      <c r="AM9" s="345">
        <v>4.8446995273463786E-2</v>
      </c>
      <c r="AN9" s="383">
        <v>3.5111411208642689E-2</v>
      </c>
      <c r="AO9" s="533"/>
      <c r="AP9" s="534"/>
      <c r="AQ9" s="91"/>
    </row>
    <row r="10" spans="1:59" x14ac:dyDescent="0.35">
      <c r="A10" s="546"/>
      <c r="B10" s="242" t="s">
        <v>61</v>
      </c>
      <c r="C10" s="372">
        <v>0.12320400448635398</v>
      </c>
      <c r="D10" s="345">
        <v>9.5201262825572175E-2</v>
      </c>
      <c r="E10" s="345">
        <v>-7.4708179287999487E-3</v>
      </c>
      <c r="F10" s="373">
        <v>0.12033834586466161</v>
      </c>
      <c r="G10" s="345">
        <v>0.48021185560586549</v>
      </c>
      <c r="H10" s="345">
        <v>0.22785278112408086</v>
      </c>
      <c r="I10" s="345">
        <v>1.3366553815477922</v>
      </c>
      <c r="J10" s="383">
        <v>0.48228949445436792</v>
      </c>
      <c r="K10" s="531"/>
      <c r="L10" s="532"/>
      <c r="M10" s="372">
        <v>4.2898783566674287E-2</v>
      </c>
      <c r="N10" s="345">
        <v>4.2705990360339618E-2</v>
      </c>
      <c r="O10" s="345">
        <v>4.0206564149644318E-2</v>
      </c>
      <c r="P10" s="373">
        <v>4.2751893504705173E-2</v>
      </c>
      <c r="Q10" s="345">
        <v>-0.10874225384438833</v>
      </c>
      <c r="R10" s="345">
        <v>-0.11104429653431264</v>
      </c>
      <c r="S10" s="345">
        <v>-8.756024787697958E-2</v>
      </c>
      <c r="T10" s="383">
        <v>-0.10820518705531325</v>
      </c>
      <c r="U10" s="533"/>
      <c r="V10" s="534"/>
      <c r="W10" s="372">
        <v>3.9358252261478106E-2</v>
      </c>
      <c r="X10" s="345">
        <v>3.9847528019571012E-2</v>
      </c>
      <c r="Y10" s="345">
        <v>4.913807817033617E-2</v>
      </c>
      <c r="Z10" s="373">
        <v>3.940376628548671E-2</v>
      </c>
      <c r="AA10" s="345">
        <v>0.15387722592023667</v>
      </c>
      <c r="AB10" s="345">
        <v>0.16106275246060187</v>
      </c>
      <c r="AC10" s="412">
        <v>8.5566365136257524E-2</v>
      </c>
      <c r="AD10" s="383">
        <v>0.15388291517323777</v>
      </c>
      <c r="AE10" s="533"/>
      <c r="AF10" s="534"/>
      <c r="AG10" s="372">
        <v>2.1562877350353556E-2</v>
      </c>
      <c r="AH10" s="345">
        <v>2.3632913575987659E-2</v>
      </c>
      <c r="AI10" s="345">
        <v>2.25116439537692E-2</v>
      </c>
      <c r="AJ10" s="373">
        <v>2.1562877350353556E-2</v>
      </c>
      <c r="AK10" s="345">
        <v>6.0031050543384604E-2</v>
      </c>
      <c r="AL10" s="345">
        <v>6.831119544592025E-2</v>
      </c>
      <c r="AM10" s="345">
        <v>8.0558909780921104E-2</v>
      </c>
      <c r="AN10" s="383">
        <v>5.9944799033983198E-2</v>
      </c>
      <c r="AO10" s="533"/>
      <c r="AP10" s="534"/>
      <c r="AQ10" s="91"/>
      <c r="AR10" s="91"/>
      <c r="AS10" s="91"/>
      <c r="AT10" s="91"/>
      <c r="AU10" s="91"/>
    </row>
    <row r="11" spans="1:59" ht="15" thickBot="1" x14ac:dyDescent="0.4">
      <c r="A11" s="546"/>
      <c r="B11" s="242" t="s">
        <v>62</v>
      </c>
      <c r="C11" s="380">
        <v>0.33030374125434664</v>
      </c>
      <c r="D11" s="381">
        <v>0.29501277808035525</v>
      </c>
      <c r="E11" s="381">
        <v>0.14150111022665388</v>
      </c>
      <c r="F11" s="382">
        <v>0.32615170304579166</v>
      </c>
      <c r="G11" s="381">
        <v>1.0205934475679752</v>
      </c>
      <c r="H11" s="381">
        <v>0.56974925635761875</v>
      </c>
      <c r="I11" s="381">
        <v>1.8798927479157068</v>
      </c>
      <c r="J11" s="385">
        <v>1.0239526163643218</v>
      </c>
      <c r="K11" s="533" t="s">
        <v>185</v>
      </c>
      <c r="L11" s="534"/>
      <c r="M11" s="380">
        <v>-4.7306029960975257E-2</v>
      </c>
      <c r="N11" s="381">
        <v>-4.9152364567160323E-2</v>
      </c>
      <c r="O11" s="381">
        <v>-4.6317821325164751E-2</v>
      </c>
      <c r="P11" s="382">
        <v>-4.9041164869287855E-2</v>
      </c>
      <c r="Q11" s="381">
        <v>-0.17593890310939533</v>
      </c>
      <c r="R11" s="381">
        <v>-0.17894549116696737</v>
      </c>
      <c r="S11" s="381">
        <v>-0.15008392430028114</v>
      </c>
      <c r="T11" s="385">
        <v>-0.17544165163022946</v>
      </c>
      <c r="U11" s="531"/>
      <c r="V11" s="532"/>
      <c r="W11" s="380">
        <v>-1.7762222465273991E-2</v>
      </c>
      <c r="X11" s="381">
        <v>-1.6941922782456535E-2</v>
      </c>
      <c r="Y11" s="381">
        <v>-1.9402821830908901E-2</v>
      </c>
      <c r="Z11" s="382">
        <v>-1.7827846439899327E-2</v>
      </c>
      <c r="AA11" s="381">
        <v>0.13470414524773061</v>
      </c>
      <c r="AB11" s="381">
        <v>0.14454227277698783</v>
      </c>
      <c r="AC11" s="411">
        <v>4.4635240074373903E-2</v>
      </c>
      <c r="AD11" s="385">
        <v>0.13470961391228259</v>
      </c>
      <c r="AE11" s="533"/>
      <c r="AF11" s="534"/>
      <c r="AG11" s="380">
        <v>-3.9584799437015735E-3</v>
      </c>
      <c r="AH11" s="381">
        <v>-2.6389866291345121E-3</v>
      </c>
      <c r="AI11" s="381">
        <v>-5.4539057002111037E-3</v>
      </c>
      <c r="AJ11" s="382">
        <v>-3.9584799437015735E-3</v>
      </c>
      <c r="AK11" s="381">
        <v>8.3391977480647431E-2</v>
      </c>
      <c r="AL11" s="381">
        <v>9.4299788881069629E-2</v>
      </c>
      <c r="AM11" s="381">
        <v>0.1112772695285011</v>
      </c>
      <c r="AN11" s="385">
        <v>8.3304011259676292E-2</v>
      </c>
      <c r="AO11" s="533"/>
      <c r="AP11" s="534"/>
      <c r="AQ11" s="91"/>
      <c r="AR11" s="91"/>
      <c r="AS11" s="91"/>
      <c r="AT11" s="91"/>
      <c r="AU11" s="91"/>
    </row>
    <row r="12" spans="1:59" ht="14.5" customHeight="1" x14ac:dyDescent="0.35">
      <c r="A12" s="545">
        <v>2022</v>
      </c>
      <c r="B12" s="241" t="s">
        <v>63</v>
      </c>
      <c r="C12" s="376">
        <v>5.4603322029505179E-2</v>
      </c>
      <c r="D12" s="377">
        <v>3.7879344233967584E-2</v>
      </c>
      <c r="E12" s="377">
        <v>0.10892757630084016</v>
      </c>
      <c r="F12" s="378">
        <v>5.7854288614813121E-2</v>
      </c>
      <c r="G12" s="377">
        <v>0.31265071170918202</v>
      </c>
      <c r="H12" s="377">
        <v>0.23391515648962136</v>
      </c>
      <c r="I12" s="377">
        <v>0.19819124349309897</v>
      </c>
      <c r="J12" s="379">
        <v>0.32580491176534121</v>
      </c>
      <c r="K12" s="533"/>
      <c r="L12" s="534"/>
      <c r="M12" s="376">
        <v>-4.8371485263514369E-2</v>
      </c>
      <c r="N12" s="377">
        <v>-4.8985230517437715E-2</v>
      </c>
      <c r="O12" s="377">
        <v>-4.5436947024325276E-2</v>
      </c>
      <c r="P12" s="378">
        <v>-4.8600264856374677E-2</v>
      </c>
      <c r="Q12" s="377">
        <v>6.2934186270584697E-2</v>
      </c>
      <c r="R12" s="377">
        <v>6.1730893604290481E-2</v>
      </c>
      <c r="S12" s="377">
        <v>7.111965612667355E-2</v>
      </c>
      <c r="T12" s="379">
        <v>6.2657010994619275E-2</v>
      </c>
      <c r="U12" s="533" t="s">
        <v>196</v>
      </c>
      <c r="V12" s="534"/>
      <c r="W12" s="376">
        <v>3.9464917226180339E-3</v>
      </c>
      <c r="X12" s="377">
        <v>4.3103890113269858E-3</v>
      </c>
      <c r="Y12" s="377">
        <v>1.5324688637179075E-2</v>
      </c>
      <c r="Z12" s="378">
        <v>3.7722310491518259E-3</v>
      </c>
      <c r="AA12" s="377">
        <v>-4.288862692839928E-2</v>
      </c>
      <c r="AB12" s="413">
        <v>-4.0833376044282638E-2</v>
      </c>
      <c r="AC12" s="377">
        <v>-5.973553380144532E-2</v>
      </c>
      <c r="AD12" s="379">
        <v>-4.2786120649889819E-2</v>
      </c>
      <c r="AE12" s="533" t="s">
        <v>197</v>
      </c>
      <c r="AF12" s="534"/>
      <c r="AG12" s="376">
        <v>6.9664344521849636E-3</v>
      </c>
      <c r="AH12" s="377">
        <v>8.0521125486294493E-3</v>
      </c>
      <c r="AI12" s="377">
        <v>9.2282638197774252E-3</v>
      </c>
      <c r="AJ12" s="378">
        <v>6.9664344521849636E-3</v>
      </c>
      <c r="AK12" s="377">
        <v>2.9675201302813665E-2</v>
      </c>
      <c r="AL12" s="377">
        <v>3.130371844748029E-2</v>
      </c>
      <c r="AM12" s="377">
        <v>3.1484664796887669E-2</v>
      </c>
      <c r="AN12" s="379">
        <v>2.9675201302813665E-2</v>
      </c>
      <c r="AO12" s="533" t="s">
        <v>201</v>
      </c>
      <c r="AP12" s="534"/>
      <c r="AQ12" s="91"/>
      <c r="AR12" s="91"/>
      <c r="AS12" s="91"/>
      <c r="AT12" s="91"/>
      <c r="AU12" s="91"/>
    </row>
    <row r="13" spans="1:59" ht="14.5" customHeight="1" x14ac:dyDescent="0.35">
      <c r="A13" s="546"/>
      <c r="B13" s="242" t="s">
        <v>64</v>
      </c>
      <c r="C13" s="372">
        <v>0.69227322988750384</v>
      </c>
      <c r="D13" s="345">
        <v>0.63586479709701016</v>
      </c>
      <c r="E13" s="345">
        <v>0.66464187635298944</v>
      </c>
      <c r="F13" s="373">
        <v>0.69255356150943004</v>
      </c>
      <c r="G13" s="345">
        <v>3.1884191892186533</v>
      </c>
      <c r="H13" s="345">
        <v>2.7169164559853392</v>
      </c>
      <c r="I13" s="345">
        <v>2.6235790041997826</v>
      </c>
      <c r="J13" s="383">
        <v>3.2317309439388668</v>
      </c>
      <c r="K13" s="533"/>
      <c r="L13" s="534"/>
      <c r="M13" s="372">
        <v>7.7033876815856481E-2</v>
      </c>
      <c r="N13" s="345">
        <v>7.5726800040780876E-2</v>
      </c>
      <c r="O13" s="345">
        <v>8.248177281437169E-2</v>
      </c>
      <c r="P13" s="373">
        <v>7.6396023349619452E-2</v>
      </c>
      <c r="Q13" s="345">
        <v>0.28023726057621173</v>
      </c>
      <c r="R13" s="345">
        <v>0.27767277594351353</v>
      </c>
      <c r="S13" s="345">
        <v>0.30042375429047957</v>
      </c>
      <c r="T13" s="383">
        <v>0.27990264892179245</v>
      </c>
      <c r="U13" s="533"/>
      <c r="V13" s="534"/>
      <c r="W13" s="372">
        <v>2.8501078957560998E-2</v>
      </c>
      <c r="X13" s="345">
        <v>2.9037791180213587E-2</v>
      </c>
      <c r="Y13" s="345">
        <v>3.7248934875228207E-2</v>
      </c>
      <c r="Z13" s="373">
        <v>2.8478946494771222E-2</v>
      </c>
      <c r="AA13" s="345">
        <v>5.5309024511702561E-2</v>
      </c>
      <c r="AB13" s="345">
        <v>6.0078570242903868E-2</v>
      </c>
      <c r="AC13" s="412">
        <v>1.8541470702152379E-2</v>
      </c>
      <c r="AD13" s="383">
        <v>5.5419686825651571E-2</v>
      </c>
      <c r="AE13" s="533"/>
      <c r="AF13" s="534"/>
      <c r="AG13" s="372">
        <v>2.1192942079018038E-2</v>
      </c>
      <c r="AH13" s="345">
        <v>2.2247794399693242E-2</v>
      </c>
      <c r="AI13" s="345">
        <v>2.2056003068661425E-2</v>
      </c>
      <c r="AJ13" s="373">
        <v>2.109704641350213E-2</v>
      </c>
      <c r="AK13" s="345">
        <v>9.2635212888377463E-2</v>
      </c>
      <c r="AL13" s="345">
        <v>9.5032604526275391E-2</v>
      </c>
      <c r="AM13" s="345">
        <v>9.3785960874568572E-2</v>
      </c>
      <c r="AN13" s="383">
        <v>9.2635212888377463E-2</v>
      </c>
      <c r="AO13" s="533"/>
      <c r="AP13" s="534"/>
      <c r="AQ13" s="91"/>
      <c r="AR13" s="91"/>
      <c r="AS13" s="91"/>
      <c r="AT13" s="91"/>
      <c r="AU13" s="91"/>
    </row>
    <row r="14" spans="1:59" x14ac:dyDescent="0.35">
      <c r="A14" s="546"/>
      <c r="B14" s="242" t="s">
        <v>65</v>
      </c>
      <c r="C14" s="372">
        <v>0.13778136796482995</v>
      </c>
      <c r="D14" s="345">
        <v>9.4873627141814035E-2</v>
      </c>
      <c r="E14" s="345">
        <v>5.8884936231028549E-2</v>
      </c>
      <c r="F14" s="373">
        <v>0.1353160486539387</v>
      </c>
      <c r="G14" s="345">
        <v>4.563768453647751</v>
      </c>
      <c r="H14" s="345">
        <v>3.6582568261020398</v>
      </c>
      <c r="I14" s="345">
        <v>3.5695441670679728</v>
      </c>
      <c r="J14" s="383">
        <v>4.6231013002345698</v>
      </c>
      <c r="K14" s="533"/>
      <c r="L14" s="534"/>
      <c r="M14" s="372">
        <v>0.11130571560845821</v>
      </c>
      <c r="N14" s="345">
        <v>0.1103686391753728</v>
      </c>
      <c r="O14" s="345">
        <v>0.11316034604893993</v>
      </c>
      <c r="P14" s="373">
        <v>0.1104997183192865</v>
      </c>
      <c r="Q14" s="345">
        <v>0.38450811854016875</v>
      </c>
      <c r="R14" s="345">
        <v>0.38051996586364439</v>
      </c>
      <c r="S14" s="345">
        <v>0.41764604168874575</v>
      </c>
      <c r="T14" s="383">
        <v>0.38414834812389487</v>
      </c>
      <c r="U14" s="533"/>
      <c r="V14" s="534"/>
      <c r="W14" s="372">
        <v>2.849843712430878E-2</v>
      </c>
      <c r="X14" s="345">
        <v>2.9352007694157346E-2</v>
      </c>
      <c r="Y14" s="345">
        <v>2.7686943976917632E-2</v>
      </c>
      <c r="Z14" s="373">
        <v>2.8420293339745252E-2</v>
      </c>
      <c r="AA14" s="345">
        <v>0.1712010098581391</v>
      </c>
      <c r="AB14" s="345">
        <v>0.17917768694397701</v>
      </c>
      <c r="AC14" s="412">
        <v>0.11044121182976679</v>
      </c>
      <c r="AD14" s="383">
        <v>0.1713212310651599</v>
      </c>
      <c r="AE14" s="533"/>
      <c r="AF14" s="534"/>
      <c r="AG14" s="372">
        <v>1.4695377079293774E-2</v>
      </c>
      <c r="AH14" s="345">
        <v>1.5613838146749649E-2</v>
      </c>
      <c r="AI14" s="345">
        <v>1.7246657822226785E-2</v>
      </c>
      <c r="AJ14" s="373">
        <v>1.479742830901108E-2</v>
      </c>
      <c r="AK14" s="345">
        <v>0.16409837738544755</v>
      </c>
      <c r="AL14" s="345">
        <v>0.1674660679661189</v>
      </c>
      <c r="AM14" s="345">
        <v>0.16420042861516485</v>
      </c>
      <c r="AN14" s="383">
        <v>0.16420042861516485</v>
      </c>
      <c r="AO14" s="533"/>
      <c r="AP14" s="534"/>
      <c r="AQ14" s="91"/>
      <c r="AR14" s="91"/>
      <c r="AS14" s="91"/>
      <c r="AT14" s="91"/>
      <c r="AU14" s="91"/>
    </row>
    <row r="15" spans="1:59" ht="15" thickBot="1" x14ac:dyDescent="0.4">
      <c r="A15" s="547"/>
      <c r="B15" s="242" t="s">
        <v>66</v>
      </c>
      <c r="C15" s="380">
        <v>0.10628760891541893</v>
      </c>
      <c r="D15" s="381">
        <v>7.1624223751985669E-2</v>
      </c>
      <c r="E15" s="381">
        <v>-6.0294613199829319E-4</v>
      </c>
      <c r="F15" s="382">
        <v>0.1125120348529339</v>
      </c>
      <c r="G15" s="381">
        <v>7.610473932508544</v>
      </c>
      <c r="H15" s="381">
        <v>5.8014760747123661</v>
      </c>
      <c r="I15" s="381">
        <v>5.7142980070283533</v>
      </c>
      <c r="J15" s="385">
        <v>7.7050817166514225</v>
      </c>
      <c r="K15" s="533"/>
      <c r="L15" s="534"/>
      <c r="M15" s="380">
        <v>6.3073316838129986E-2</v>
      </c>
      <c r="N15" s="381">
        <v>6.5792420888136513E-2</v>
      </c>
      <c r="O15" s="381">
        <v>6.8657377262664326E-2</v>
      </c>
      <c r="P15" s="382">
        <v>6.5972131787993271E-2</v>
      </c>
      <c r="Q15" s="381">
        <v>0.31064982419585879</v>
      </c>
      <c r="R15" s="381">
        <v>0.30572209923167071</v>
      </c>
      <c r="S15" s="381">
        <v>0.3532673525198593</v>
      </c>
      <c r="T15" s="385">
        <v>0.3103086339367106</v>
      </c>
      <c r="U15" s="533"/>
      <c r="V15" s="534"/>
      <c r="W15" s="380">
        <v>-2.9134720700985414E-3</v>
      </c>
      <c r="X15" s="381">
        <v>-3.2530120481928009E-3</v>
      </c>
      <c r="Y15" s="381">
        <v>-2.1796276013143581E-3</v>
      </c>
      <c r="Z15" s="382">
        <v>-2.9353778751368565E-3</v>
      </c>
      <c r="AA15" s="381">
        <v>9.0054764512595864E-2</v>
      </c>
      <c r="AB15" s="381">
        <v>9.9989047097480799E-2</v>
      </c>
      <c r="AC15" s="411">
        <v>1.5109529025191632E-2</v>
      </c>
      <c r="AD15" s="385">
        <v>9.0169769989047147E-2</v>
      </c>
      <c r="AE15" s="533"/>
      <c r="AF15" s="534"/>
      <c r="AG15" s="380">
        <v>-1.6725845636329683E-2</v>
      </c>
      <c r="AH15" s="381">
        <v>-1.5884881330592529E-2</v>
      </c>
      <c r="AI15" s="381">
        <v>-1.7006167071575401E-2</v>
      </c>
      <c r="AJ15" s="382">
        <v>-1.6632405157914445E-2</v>
      </c>
      <c r="AK15" s="381">
        <v>6.7090263502149E-2</v>
      </c>
      <c r="AL15" s="381">
        <v>7.0827882638758985E-2</v>
      </c>
      <c r="AM15" s="381">
        <v>6.6155858717996605E-2</v>
      </c>
      <c r="AN15" s="385">
        <v>6.7183703980564238E-2</v>
      </c>
      <c r="AO15" s="533"/>
      <c r="AP15" s="534"/>
      <c r="AQ15" s="91"/>
      <c r="AR15" s="91"/>
      <c r="AS15" s="91"/>
      <c r="AT15" s="91"/>
      <c r="AU15" s="91"/>
    </row>
    <row r="16" spans="1:59" x14ac:dyDescent="0.35">
      <c r="A16" s="545">
        <v>2023</v>
      </c>
      <c r="B16" s="241" t="s">
        <v>67</v>
      </c>
      <c r="C16" s="376">
        <v>-9.3443585030977452E-2</v>
      </c>
      <c r="D16" s="377">
        <v>-0.12086582490221777</v>
      </c>
      <c r="E16" s="377">
        <v>-0.19819792592800836</v>
      </c>
      <c r="F16" s="378">
        <v>-9.4918137060243685E-2</v>
      </c>
      <c r="G16" s="377">
        <v>-0.26199022353730828</v>
      </c>
      <c r="H16" s="377">
        <v>-0.32709014938800468</v>
      </c>
      <c r="I16" s="377">
        <v>-0.33914274970920122</v>
      </c>
      <c r="J16" s="379">
        <v>-0.26093245384996538</v>
      </c>
      <c r="K16" s="533" t="s">
        <v>186</v>
      </c>
      <c r="L16" s="534"/>
      <c r="M16" s="376">
        <v>-3.4533778176871616E-2</v>
      </c>
      <c r="N16" s="377">
        <v>-3.4966940921955389E-2</v>
      </c>
      <c r="O16" s="377">
        <v>-3.4047078463294397E-2</v>
      </c>
      <c r="P16" s="378">
        <v>-3.4808763515042772E-2</v>
      </c>
      <c r="Q16" s="377">
        <v>-5.5773353677381482E-2</v>
      </c>
      <c r="R16" s="377">
        <v>-5.6586142199055361E-2</v>
      </c>
      <c r="S16" s="377">
        <v>-5.6060506508391998E-2</v>
      </c>
      <c r="T16" s="379">
        <v>-5.5783087671653013E-2</v>
      </c>
      <c r="U16" s="533" t="s">
        <v>191</v>
      </c>
      <c r="V16" s="534"/>
      <c r="W16" s="376">
        <v>-6.5451345235101877E-2</v>
      </c>
      <c r="X16" s="377">
        <v>-6.5139552426452085E-2</v>
      </c>
      <c r="Y16" s="377">
        <v>-6.6552677897912957E-2</v>
      </c>
      <c r="Z16" s="378">
        <v>-6.5375911491073677E-2</v>
      </c>
      <c r="AA16" s="377">
        <v>-6.299723409605229E-2</v>
      </c>
      <c r="AB16" s="413">
        <v>-6.2192607493085278E-2</v>
      </c>
      <c r="AC16" s="377">
        <v>-7.9124968569273285E-2</v>
      </c>
      <c r="AD16" s="379">
        <v>-6.3002263012320828E-2</v>
      </c>
      <c r="AE16" s="533" t="s">
        <v>198</v>
      </c>
      <c r="AF16" s="534"/>
      <c r="AG16" s="376">
        <v>-1.5960882000184605E-2</v>
      </c>
      <c r="AH16" s="377">
        <v>-1.457699049727838E-2</v>
      </c>
      <c r="AI16" s="377">
        <v>-1.4853768797859582E-2</v>
      </c>
      <c r="AJ16" s="378">
        <v>-1.5960882000184605E-2</v>
      </c>
      <c r="AK16" s="377">
        <v>-1.2178245225574407E-2</v>
      </c>
      <c r="AL16" s="377">
        <v>-8.5801273180183459E-3</v>
      </c>
      <c r="AM16" s="377">
        <v>-1.0333056555032843E-2</v>
      </c>
      <c r="AN16" s="379">
        <v>-1.2178245225574407E-2</v>
      </c>
      <c r="AO16" s="533"/>
      <c r="AP16" s="534"/>
      <c r="AQ16" s="91"/>
      <c r="AR16" s="91"/>
      <c r="AS16" s="91"/>
      <c r="AT16" s="91"/>
      <c r="AU16" s="91"/>
    </row>
    <row r="17" spans="1:47" x14ac:dyDescent="0.35">
      <c r="A17" s="546"/>
      <c r="B17" s="242" t="s">
        <v>68</v>
      </c>
      <c r="C17" s="372">
        <v>-4.3258529823322463E-2</v>
      </c>
      <c r="D17" s="345">
        <v>-7.4908130304575854E-2</v>
      </c>
      <c r="E17" s="345">
        <v>-0.11454385551937434</v>
      </c>
      <c r="F17" s="373">
        <v>-4.7724835549975808E-2</v>
      </c>
      <c r="G17" s="345">
        <v>-0.12711921482469557</v>
      </c>
      <c r="H17" s="345">
        <v>-0.27414505603724476</v>
      </c>
      <c r="I17" s="345">
        <v>-0.28338891286437284</v>
      </c>
      <c r="J17" s="383">
        <v>-0.12558456589116873</v>
      </c>
      <c r="K17" s="533"/>
      <c r="L17" s="534"/>
      <c r="M17" s="372">
        <v>-4.7386964708631692E-2</v>
      </c>
      <c r="N17" s="345">
        <v>-4.8018371464908574E-2</v>
      </c>
      <c r="O17" s="345">
        <v>-4.517816456122857E-2</v>
      </c>
      <c r="P17" s="373">
        <v>-4.7917256503938986E-2</v>
      </c>
      <c r="Q17" s="345">
        <v>-0.11892467609507508</v>
      </c>
      <c r="R17" s="345">
        <v>-0.12040769552262956</v>
      </c>
      <c r="S17" s="345">
        <v>-0.11773826055303142</v>
      </c>
      <c r="T17" s="383">
        <v>-0.1189336640916057</v>
      </c>
      <c r="U17" s="533"/>
      <c r="V17" s="534"/>
      <c r="W17" s="372">
        <v>4.3047082746754235E-2</v>
      </c>
      <c r="X17" s="345">
        <v>4.2869805516450178E-2</v>
      </c>
      <c r="Y17" s="345">
        <v>4.8688669899369034E-2</v>
      </c>
      <c r="Z17" s="373">
        <v>4.3083581000052079E-2</v>
      </c>
      <c r="AA17" s="345">
        <v>-8.7074404296366044E-3</v>
      </c>
      <c r="AB17" s="412">
        <v>-6.3871943271286303E-3</v>
      </c>
      <c r="AC17" s="345">
        <v>-4.4501798842484036E-2</v>
      </c>
      <c r="AD17" s="383">
        <v>-8.7074404296366044E-3</v>
      </c>
      <c r="AE17" s="533"/>
      <c r="AF17" s="534"/>
      <c r="AG17" s="372">
        <v>-1.3473877176901865E-2</v>
      </c>
      <c r="AH17" s="345">
        <v>-1.2098991750687332E-2</v>
      </c>
      <c r="AI17" s="345">
        <v>-1.081576535288729E-2</v>
      </c>
      <c r="AJ17" s="373">
        <v>-1.3565536205316154E-2</v>
      </c>
      <c r="AK17" s="345">
        <v>-1.81484876260312E-2</v>
      </c>
      <c r="AL17" s="345">
        <v>-1.081576535288729E-2</v>
      </c>
      <c r="AM17" s="345">
        <v>-1.558203483043071E-2</v>
      </c>
      <c r="AN17" s="383">
        <v>-1.81484876260312E-2</v>
      </c>
      <c r="AO17" s="533"/>
      <c r="AP17" s="534"/>
      <c r="AQ17" s="91"/>
      <c r="AR17" s="91"/>
      <c r="AS17" s="91"/>
      <c r="AT17" s="91"/>
      <c r="AU17" s="91"/>
    </row>
    <row r="18" spans="1:47" x14ac:dyDescent="0.35">
      <c r="A18" s="546"/>
      <c r="B18" s="242" t="s">
        <v>69</v>
      </c>
      <c r="C18" s="372">
        <v>1.0079179252533526E-2</v>
      </c>
      <c r="D18" s="345">
        <v>-2.9399274339130289E-2</v>
      </c>
      <c r="E18" s="345">
        <v>-0.11275054067096818</v>
      </c>
      <c r="F18" s="373">
        <v>-1.2046685374176416E-4</v>
      </c>
      <c r="G18" s="345">
        <v>0.2165321989669162</v>
      </c>
      <c r="H18" s="345">
        <v>-7.8322043289424312E-2</v>
      </c>
      <c r="I18" s="345">
        <v>-8.5255143076730641E-2</v>
      </c>
      <c r="J18" s="383">
        <v>0.21907093960571239</v>
      </c>
      <c r="K18" s="531"/>
      <c r="L18" s="532"/>
      <c r="M18" s="372">
        <v>5.7506325719149765E-2</v>
      </c>
      <c r="N18" s="345">
        <v>5.7294108044448962E-2</v>
      </c>
      <c r="O18" s="345">
        <v>5.3492846398712726E-2</v>
      </c>
      <c r="P18" s="373">
        <v>5.7343081353995268E-2</v>
      </c>
      <c r="Q18" s="345">
        <v>-7.5799022865871479E-2</v>
      </c>
      <c r="R18" s="345">
        <v>-7.8126421100500276E-2</v>
      </c>
      <c r="S18" s="345">
        <v>-7.3028532782966629E-2</v>
      </c>
      <c r="T18" s="383">
        <v>-7.5808351115308856E-2</v>
      </c>
      <c r="U18" s="533"/>
      <c r="V18" s="534"/>
      <c r="W18" s="372">
        <v>4.877239903717575E-2</v>
      </c>
      <c r="X18" s="345">
        <v>4.7702594276544566E-2</v>
      </c>
      <c r="Y18" s="345">
        <v>5.7619684407595628E-2</v>
      </c>
      <c r="Z18" s="373">
        <v>4.8713559775340969E-2</v>
      </c>
      <c r="AA18" s="345">
        <v>3.7919229740572401E-2</v>
      </c>
      <c r="AB18" s="345">
        <v>4.1909601497726615E-2</v>
      </c>
      <c r="AC18" s="412">
        <v>-1.9497191762503367E-2</v>
      </c>
      <c r="AD18" s="383">
        <v>3.7913880716769245E-2</v>
      </c>
      <c r="AE18" s="533"/>
      <c r="AF18" s="534"/>
      <c r="AG18" s="372">
        <v>1.9394512771996181E-2</v>
      </c>
      <c r="AH18" s="345">
        <v>2.0813623462630104E-2</v>
      </c>
      <c r="AI18" s="345">
        <v>2.1286660359508009E-2</v>
      </c>
      <c r="AJ18" s="373">
        <v>1.9299905392620602E-2</v>
      </c>
      <c r="AK18" s="345">
        <v>1.381267738883649E-2</v>
      </c>
      <c r="AL18" s="345">
        <v>2.5354777672658618E-2</v>
      </c>
      <c r="AM18" s="345">
        <v>1.7123935666982032E-2</v>
      </c>
      <c r="AN18" s="383">
        <v>1.3907284768212071E-2</v>
      </c>
      <c r="AO18" s="533" t="s">
        <v>202</v>
      </c>
      <c r="AP18" s="534"/>
      <c r="AQ18" s="91"/>
      <c r="AR18" s="91"/>
      <c r="AS18" s="91"/>
      <c r="AT18" s="91"/>
      <c r="AU18" s="91"/>
    </row>
    <row r="19" spans="1:47" ht="15" thickBot="1" x14ac:dyDescent="0.4">
      <c r="A19" s="547"/>
      <c r="B19" s="242" t="s">
        <v>70</v>
      </c>
      <c r="C19" s="380">
        <v>-4.7721542479754839E-2</v>
      </c>
      <c r="D19" s="381">
        <v>-7.4907091803709122E-2</v>
      </c>
      <c r="E19" s="381">
        <v>-9.3155574265448113E-2</v>
      </c>
      <c r="F19" s="382">
        <v>-4.7757981504365908E-2</v>
      </c>
      <c r="G19" s="381">
        <v>-1.8198011017712599E-2</v>
      </c>
      <c r="H19" s="381">
        <v>-0.32229593014571084</v>
      </c>
      <c r="I19" s="381">
        <v>-0.32292059913904325</v>
      </c>
      <c r="J19" s="385">
        <v>-1.5826758465849137E-2</v>
      </c>
      <c r="K19" s="533" t="s">
        <v>187</v>
      </c>
      <c r="L19" s="534"/>
      <c r="M19" s="380">
        <v>-3.3078747041299116E-2</v>
      </c>
      <c r="N19" s="381">
        <v>-3.2680409993647595E-2</v>
      </c>
      <c r="O19" s="381">
        <v>-4.1802328384869129E-2</v>
      </c>
      <c r="P19" s="382">
        <v>-3.2766366935509224E-2</v>
      </c>
      <c r="Q19" s="381">
        <v>-0.16026986286723008</v>
      </c>
      <c r="R19" s="381">
        <v>-0.16308547684089367</v>
      </c>
      <c r="S19" s="381">
        <v>-0.15633680864936483</v>
      </c>
      <c r="T19" s="385">
        <v>-0.16027824891033854</v>
      </c>
      <c r="U19" s="533"/>
      <c r="V19" s="534"/>
      <c r="W19" s="380">
        <v>-9.9640028797697237E-3</v>
      </c>
      <c r="X19" s="381">
        <v>-9.3832493400528832E-3</v>
      </c>
      <c r="Y19" s="381">
        <v>-7.4202063834893387E-3</v>
      </c>
      <c r="Z19" s="382">
        <v>-1.0035997120230311E-2</v>
      </c>
      <c r="AA19" s="381">
        <v>-4.9493640508759248E-2</v>
      </c>
      <c r="AB19" s="411">
        <v>-4.4406047516198692E-2</v>
      </c>
      <c r="AC19" s="381">
        <v>-0.11993760499160072</v>
      </c>
      <c r="AD19" s="385">
        <v>-4.9498440124790072E-2</v>
      </c>
      <c r="AE19" s="533"/>
      <c r="AF19" s="534"/>
      <c r="AG19" s="380">
        <v>-1.4487504527345176E-2</v>
      </c>
      <c r="AH19" s="381">
        <v>-1.2495472654835235E-2</v>
      </c>
      <c r="AI19" s="381">
        <v>-1.5574067366896146E-2</v>
      </c>
      <c r="AJ19" s="382">
        <v>-1.4578051430641075E-2</v>
      </c>
      <c r="AK19" s="381">
        <v>-2.9246649764578046E-2</v>
      </c>
      <c r="AL19" s="381">
        <v>-1.4396957624049279E-2</v>
      </c>
      <c r="AM19" s="381">
        <v>-2.5805867439333545E-2</v>
      </c>
      <c r="AN19" s="385">
        <v>-2.9156102861282149E-2</v>
      </c>
      <c r="AO19" s="533"/>
      <c r="AP19" s="534"/>
      <c r="AQ19" s="91"/>
      <c r="AR19" s="91"/>
      <c r="AS19" s="91"/>
      <c r="AT19" s="91"/>
      <c r="AU19" s="91"/>
    </row>
    <row r="20" spans="1:47" x14ac:dyDescent="0.35">
      <c r="A20" s="545">
        <v>2024</v>
      </c>
      <c r="B20" s="241" t="s">
        <v>71</v>
      </c>
      <c r="C20" s="376">
        <v>-1.5430693438829607E-2</v>
      </c>
      <c r="D20" s="377">
        <v>-4.1634751752688492E-2</v>
      </c>
      <c r="E20" s="377">
        <v>4.8345209317815163E-2</v>
      </c>
      <c r="F20" s="378">
        <v>-2.4462853336854804E-2</v>
      </c>
      <c r="G20" s="377">
        <v>-0.22911070790819982</v>
      </c>
      <c r="H20" s="377">
        <v>-0.28786711720764119</v>
      </c>
      <c r="I20" s="377">
        <v>-0.31059795246926691</v>
      </c>
      <c r="J20" s="379">
        <v>-0.22664632150711114</v>
      </c>
      <c r="K20" s="533"/>
      <c r="L20" s="534"/>
      <c r="M20" s="376">
        <v>-1.6364180732564623E-2</v>
      </c>
      <c r="N20" s="377">
        <v>-1.5889331530559238E-2</v>
      </c>
      <c r="O20" s="377">
        <v>-1.8421860607921468E-2</v>
      </c>
      <c r="P20" s="378">
        <v>-1.5925565003804557E-2</v>
      </c>
      <c r="Q20" s="377">
        <v>-7.8962273326251983E-2</v>
      </c>
      <c r="R20" s="377">
        <v>-7.9206372514431439E-2</v>
      </c>
      <c r="S20" s="377">
        <v>-8.3880490563087301E-2</v>
      </c>
      <c r="T20" s="379">
        <v>-7.8973715475697981E-2</v>
      </c>
      <c r="U20" s="533" t="s">
        <v>192</v>
      </c>
      <c r="V20" s="534"/>
      <c r="W20" s="376">
        <v>-7.8614363952090455E-2</v>
      </c>
      <c r="X20" s="377">
        <v>-7.8983926265639548E-2</v>
      </c>
      <c r="Y20" s="377">
        <v>-7.8805823945857001E-2</v>
      </c>
      <c r="Z20" s="378">
        <v>-7.854312302417743E-2</v>
      </c>
      <c r="AA20" s="377">
        <v>-5.2678213633732554E-2</v>
      </c>
      <c r="AB20" s="377">
        <v>-5.0634489514226035E-2</v>
      </c>
      <c r="AC20" s="413">
        <v>-4.4868426911260507E-2</v>
      </c>
      <c r="AD20" s="379">
        <v>-5.268266619172722E-2</v>
      </c>
      <c r="AE20" s="533" t="s">
        <v>199</v>
      </c>
      <c r="AF20" s="534"/>
      <c r="AG20" s="376">
        <v>8.9360513822954978E-3</v>
      </c>
      <c r="AH20" s="377">
        <v>1.0146141673647873E-2</v>
      </c>
      <c r="AI20" s="377">
        <v>1.2380154519221694E-2</v>
      </c>
      <c r="AJ20" s="378">
        <v>8.9360513822954978E-3</v>
      </c>
      <c r="AK20" s="377">
        <v>2.8018244438238867E-2</v>
      </c>
      <c r="AL20" s="377">
        <v>3.3882528157870226E-2</v>
      </c>
      <c r="AM20" s="377">
        <v>3.2486270129386513E-2</v>
      </c>
      <c r="AN20" s="379">
        <v>2.8018244438238867E-2</v>
      </c>
      <c r="AO20" s="533"/>
      <c r="AP20" s="534"/>
      <c r="AQ20" s="91"/>
      <c r="AR20" s="91"/>
      <c r="AS20" s="91"/>
      <c r="AT20" s="91"/>
      <c r="AU20" s="91"/>
    </row>
    <row r="21" spans="1:47" x14ac:dyDescent="0.35">
      <c r="A21" s="546"/>
      <c r="B21" s="242" t="s">
        <v>72</v>
      </c>
      <c r="C21" s="372">
        <v>0.16624413063423349</v>
      </c>
      <c r="D21" s="345">
        <v>0.13564583296894117</v>
      </c>
      <c r="E21" s="345">
        <v>2.6476504251066554E-2</v>
      </c>
      <c r="F21" s="373">
        <v>0.16968584880609197</v>
      </c>
      <c r="G21" s="345">
        <v>8.5054086414236979E-2</v>
      </c>
      <c r="H21" s="345">
        <v>-7.5337453748682157E-2</v>
      </c>
      <c r="I21" s="345">
        <v>-0.11950927093453496</v>
      </c>
      <c r="J21" s="383">
        <v>8.8912722352166768E-2</v>
      </c>
      <c r="K21" s="531"/>
      <c r="L21" s="532"/>
      <c r="M21" s="372">
        <v>-3.2472525565789778E-2</v>
      </c>
      <c r="N21" s="345">
        <v>-3.1794911133880888E-2</v>
      </c>
      <c r="O21" s="345">
        <v>-2.9964804231528686E-2</v>
      </c>
      <c r="P21" s="373">
        <v>-3.1807696311841549E-2</v>
      </c>
      <c r="Q21" s="345">
        <v>-0.10693340200800357</v>
      </c>
      <c r="R21" s="345">
        <v>-0.10739184196058886</v>
      </c>
      <c r="S21" s="345">
        <v>-0.11498806412314677</v>
      </c>
      <c r="T21" s="383">
        <v>-0.10694436073196965</v>
      </c>
      <c r="U21" s="533"/>
      <c r="V21" s="534"/>
      <c r="W21" s="372">
        <v>1.4109196630894865E-2</v>
      </c>
      <c r="X21" s="345">
        <v>1.3852665783060452E-2</v>
      </c>
      <c r="Y21" s="345">
        <v>2.124502971482323E-2</v>
      </c>
      <c r="Z21" s="373">
        <v>1.4104921116764197E-2</v>
      </c>
      <c r="AA21" s="345">
        <v>-7.1315575697977751E-2</v>
      </c>
      <c r="AB21" s="345">
        <v>-6.6479969216298354E-2</v>
      </c>
      <c r="AC21" s="412">
        <v>-5.8044379836675451E-2</v>
      </c>
      <c r="AD21" s="383">
        <v>-7.1315575697977751E-2</v>
      </c>
      <c r="AE21" s="533"/>
      <c r="AF21" s="534"/>
      <c r="AG21" s="372">
        <v>9.7783572359843116E-3</v>
      </c>
      <c r="AH21" s="345">
        <v>1.1175265412553557E-2</v>
      </c>
      <c r="AI21" s="345">
        <v>1.4155336189234381E-2</v>
      </c>
      <c r="AJ21" s="373">
        <v>9.7783572359843116E-3</v>
      </c>
      <c r="AK21" s="345">
        <v>2.9335071707952933E-2</v>
      </c>
      <c r="AL21" s="345">
        <v>4.0789718755820298E-2</v>
      </c>
      <c r="AM21" s="345">
        <v>3.7530266343825662E-2</v>
      </c>
      <c r="AN21" s="383">
        <v>2.9335071707952933E-2</v>
      </c>
      <c r="AO21" s="533"/>
      <c r="AP21" s="534"/>
      <c r="AQ21" s="91"/>
      <c r="AR21" s="91"/>
      <c r="AS21" s="91"/>
      <c r="AT21" s="91"/>
      <c r="AU21" s="91"/>
    </row>
    <row r="22" spans="1:47" ht="14.5" customHeight="1" x14ac:dyDescent="0.35">
      <c r="A22" s="546"/>
      <c r="B22" s="242" t="s">
        <v>73</v>
      </c>
      <c r="C22" s="372">
        <v>1.8049000994485077E-2</v>
      </c>
      <c r="D22" s="345">
        <v>-8.8425343754880339E-3</v>
      </c>
      <c r="E22" s="345">
        <v>-0.10883332922389066</v>
      </c>
      <c r="F22" s="373">
        <v>2.0409464868374593E-2</v>
      </c>
      <c r="G22" s="345">
        <v>0.47344215137543039</v>
      </c>
      <c r="H22" s="345">
        <v>0.12243262568730429</v>
      </c>
      <c r="I22" s="345">
        <v>5.1773388892998387E-2</v>
      </c>
      <c r="J22" s="383">
        <v>0.43466150520666397</v>
      </c>
      <c r="K22" s="533" t="s">
        <v>188</v>
      </c>
      <c r="L22" s="534"/>
      <c r="M22" s="372">
        <v>-5.9382526822859012E-3</v>
      </c>
      <c r="N22" s="345">
        <v>-5.9697832275016297E-3</v>
      </c>
      <c r="O22" s="345">
        <v>-1.3535362382307937E-2</v>
      </c>
      <c r="P22" s="373">
        <v>-5.9505145609809948E-3</v>
      </c>
      <c r="Q22" s="345">
        <v>-0.13274534705495955</v>
      </c>
      <c r="R22" s="345">
        <v>-0.13340924020144521</v>
      </c>
      <c r="S22" s="345">
        <v>-0.14370571491132036</v>
      </c>
      <c r="T22" s="383">
        <v>-0.13275585723669803</v>
      </c>
      <c r="U22" s="533"/>
      <c r="V22" s="534"/>
      <c r="W22" s="372">
        <v>-4.5857756206832155E-2</v>
      </c>
      <c r="X22" s="345">
        <v>-4.6275900690685018E-2</v>
      </c>
      <c r="Y22" s="345">
        <v>-3.5934291581108828E-2</v>
      </c>
      <c r="Z22" s="373">
        <v>-4.5861489639723779E-2</v>
      </c>
      <c r="AA22" s="345">
        <v>-0.17190218405824156</v>
      </c>
      <c r="AB22" s="345">
        <v>-0.16499906664177705</v>
      </c>
      <c r="AC22" s="412">
        <v>-0.15528467425798015</v>
      </c>
      <c r="AD22" s="383">
        <v>-0.17190591749113304</v>
      </c>
      <c r="AE22" s="533"/>
      <c r="AF22" s="534"/>
      <c r="AG22" s="372">
        <v>-1.6264570344266954E-3</v>
      </c>
      <c r="AH22" s="345">
        <v>-3.6143489653922106E-4</v>
      </c>
      <c r="AI22" s="345">
        <v>-9.0358724134825331E-4</v>
      </c>
      <c r="AJ22" s="373">
        <v>-1.5360983102918901E-3</v>
      </c>
      <c r="AK22" s="345">
        <v>-5.4215234480883162E-4</v>
      </c>
      <c r="AL22" s="345">
        <v>1.6264570344266753E-2</v>
      </c>
      <c r="AM22" s="345">
        <v>1.1204481792717056E-2</v>
      </c>
      <c r="AN22" s="383">
        <v>-5.4215234480883162E-4</v>
      </c>
      <c r="AO22" s="533" t="s">
        <v>203</v>
      </c>
      <c r="AP22" s="534"/>
      <c r="AQ22" s="91"/>
      <c r="AR22" s="91"/>
      <c r="AS22" s="91"/>
      <c r="AT22" s="91"/>
      <c r="AU22" s="91"/>
    </row>
    <row r="23" spans="1:47" ht="15" thickBot="1" x14ac:dyDescent="0.4">
      <c r="A23" s="547"/>
      <c r="B23" s="243" t="s">
        <v>74</v>
      </c>
      <c r="C23" s="380">
        <v>0.12398620138282283</v>
      </c>
      <c r="D23" s="381">
        <v>9.1525081376731487E-2</v>
      </c>
      <c r="E23" s="381">
        <v>6.7634480468526922E-2</v>
      </c>
      <c r="F23" s="382">
        <v>0.11854913589438262</v>
      </c>
      <c r="G23" s="381">
        <v>0.17131361820300717</v>
      </c>
      <c r="H23" s="381">
        <v>-0.15206841779099448</v>
      </c>
      <c r="I23" s="381">
        <v>-0.21868883526050067</v>
      </c>
      <c r="J23" s="385">
        <v>0.1763303165602442</v>
      </c>
      <c r="K23" s="533"/>
      <c r="L23" s="534"/>
      <c r="M23" s="380">
        <v>3.0799285232154968E-2</v>
      </c>
      <c r="N23" s="381">
        <v>3.0732977082883525E-2</v>
      </c>
      <c r="O23" s="381">
        <v>2.2405353617959603E-2</v>
      </c>
      <c r="P23" s="382">
        <v>3.0783983351553818E-2</v>
      </c>
      <c r="Q23" s="381">
        <v>-0.14767844968146587</v>
      </c>
      <c r="R23" s="381">
        <v>-0.14854725645781863</v>
      </c>
      <c r="S23" s="381">
        <v>-0.16149774807323819</v>
      </c>
      <c r="T23" s="385">
        <v>-0.14768865093520003</v>
      </c>
      <c r="U23" s="533"/>
      <c r="V23" s="534"/>
      <c r="W23" s="380">
        <v>2.0927390092051475E-2</v>
      </c>
      <c r="X23" s="381">
        <v>2.0893014017799274E-2</v>
      </c>
      <c r="Y23" s="381">
        <v>2.62747794201902E-2</v>
      </c>
      <c r="Z23" s="382">
        <v>2.0923570528245752E-2</v>
      </c>
      <c r="AA23" s="381">
        <v>-0.1348764371108819</v>
      </c>
      <c r="AB23" s="381">
        <v>-0.12494939077957302</v>
      </c>
      <c r="AC23" s="411">
        <v>-0.11368549711622929</v>
      </c>
      <c r="AD23" s="385">
        <v>-0.1348764371108819</v>
      </c>
      <c r="AE23" s="533"/>
      <c r="AF23" s="534"/>
      <c r="AG23" s="380">
        <v>2.1342346692419127E-2</v>
      </c>
      <c r="AH23" s="381">
        <v>2.2597778850796585E-2</v>
      </c>
      <c r="AI23" s="381">
        <v>2.0473201352003749E-2</v>
      </c>
      <c r="AJ23" s="382">
        <v>2.1342346692419127E-2</v>
      </c>
      <c r="AK23" s="381">
        <v>6.8952197006277069E-2</v>
      </c>
      <c r="AL23" s="381">
        <v>9.3095123128923041E-2</v>
      </c>
      <c r="AM23" s="381">
        <v>8.5465958474167089E-2</v>
      </c>
      <c r="AN23" s="385">
        <v>6.9048768710767636E-2</v>
      </c>
      <c r="AO23" s="533"/>
      <c r="AP23" s="534"/>
      <c r="AQ23" s="91"/>
      <c r="AR23" s="91"/>
      <c r="AS23" s="91"/>
      <c r="AT23" s="91"/>
      <c r="AU23" s="91"/>
    </row>
    <row r="24" spans="1:47" x14ac:dyDescent="0.35">
      <c r="A24" s="545">
        <v>2025</v>
      </c>
      <c r="B24" s="241" t="s">
        <v>75</v>
      </c>
      <c r="C24" s="376">
        <v>8.4714586645562445E-2</v>
      </c>
      <c r="D24" s="377">
        <v>6.9399113712099766E-2</v>
      </c>
      <c r="E24" s="377">
        <v>6.5153550435511631E-2</v>
      </c>
      <c r="F24" s="378">
        <v>9.6866171466414283E-2</v>
      </c>
      <c r="G24" s="377">
        <v>0.3892823510348245</v>
      </c>
      <c r="H24" s="377">
        <v>0.29462332764236615</v>
      </c>
      <c r="I24" s="377">
        <v>0.1734004429091098</v>
      </c>
      <c r="J24" s="379">
        <v>0.39229335800723786</v>
      </c>
      <c r="K24" s="533"/>
      <c r="L24" s="534"/>
      <c r="M24" s="376">
        <v>6.0835388163115414E-2</v>
      </c>
      <c r="N24" s="377">
        <v>6.1873898247314513E-2</v>
      </c>
      <c r="O24" s="377">
        <v>7.1247117468804785E-2</v>
      </c>
      <c r="P24" s="378">
        <v>6.2262673817296874E-2</v>
      </c>
      <c r="Q24" s="377">
        <v>5.9168446335657147E-2</v>
      </c>
      <c r="R24" s="377">
        <v>5.7329307109622377E-2</v>
      </c>
      <c r="S24" s="377">
        <v>4.7806968491426557E-2</v>
      </c>
      <c r="T24" s="379">
        <v>5.8763693687456479E-2</v>
      </c>
      <c r="U24" s="533" t="s">
        <v>193</v>
      </c>
      <c r="V24" s="534"/>
      <c r="W24" s="376">
        <v>-7.2015257469802904E-2</v>
      </c>
      <c r="X24" s="377">
        <v>-7.1929434202161469E-2</v>
      </c>
      <c r="Y24" s="377">
        <v>-7.0034965034965008E-2</v>
      </c>
      <c r="Z24" s="378">
        <v>-7.2018436109345246E-2</v>
      </c>
      <c r="AA24" s="377">
        <v>-0.14915448188175454</v>
      </c>
      <c r="AB24" s="413">
        <v>-0.14787349014621742</v>
      </c>
      <c r="AC24" s="377">
        <v>-0.15258423394787038</v>
      </c>
      <c r="AD24" s="379">
        <v>-0.14915766052129689</v>
      </c>
      <c r="AE24" s="533"/>
      <c r="AF24" s="534"/>
      <c r="AG24" s="376">
        <v>-3.863615306216979E-2</v>
      </c>
      <c r="AH24" s="377">
        <v>-3.7339016028907629E-2</v>
      </c>
      <c r="AI24" s="377">
        <v>-3.6319836931344301E-2</v>
      </c>
      <c r="AJ24" s="378">
        <v>-3.8728805707402801E-2</v>
      </c>
      <c r="AK24" s="377">
        <v>-4.0581858612063225E-2</v>
      </c>
      <c r="AL24" s="377">
        <v>-3.7246363383674617E-2</v>
      </c>
      <c r="AM24" s="377">
        <v>-3.7061058093208595E-2</v>
      </c>
      <c r="AN24" s="379">
        <v>-4.0674511257296236E-2</v>
      </c>
      <c r="AO24" s="533"/>
      <c r="AP24" s="534"/>
      <c r="AQ24" s="91"/>
      <c r="AR24" s="91"/>
      <c r="AS24" s="91"/>
      <c r="AT24" s="91"/>
      <c r="AU24" s="91"/>
    </row>
    <row r="25" spans="1:47" x14ac:dyDescent="0.35">
      <c r="A25" s="546"/>
      <c r="B25" s="242" t="s">
        <v>76</v>
      </c>
      <c r="C25" s="372">
        <v>7.7067448291913532E-2</v>
      </c>
      <c r="D25" s="345">
        <v>5.3280735101136019E-2</v>
      </c>
      <c r="E25" s="345">
        <v>2.5481695796272873E-2</v>
      </c>
      <c r="F25" s="373">
        <v>8.1379506747289027E-2</v>
      </c>
      <c r="G25" s="345">
        <v>0.41862314240219201</v>
      </c>
      <c r="H25" s="345">
        <v>0.22984844026593673</v>
      </c>
      <c r="I25" s="345">
        <v>1.9705793027627729E-2</v>
      </c>
      <c r="J25" s="383">
        <v>0.42182738331206115</v>
      </c>
      <c r="K25" s="533"/>
      <c r="L25" s="534"/>
      <c r="M25" s="372">
        <v>-4.1735976547311197E-2</v>
      </c>
      <c r="N25" s="345">
        <v>-4.2387798664410066E-2</v>
      </c>
      <c r="O25" s="345">
        <v>-4.4694990811567005E-2</v>
      </c>
      <c r="P25" s="373">
        <v>-4.1748883915966609E-2</v>
      </c>
      <c r="Q25" s="345">
        <v>-2.3877018591451089E-2</v>
      </c>
      <c r="R25" s="345">
        <v>-2.6892502593574435E-2</v>
      </c>
      <c r="S25" s="345">
        <v>-4.3964111061453558E-2</v>
      </c>
      <c r="T25" s="383">
        <v>-2.4249718861376501E-2</v>
      </c>
      <c r="U25" s="533"/>
      <c r="V25" s="534"/>
      <c r="W25" s="372">
        <v>6.6123350647798781E-3</v>
      </c>
      <c r="X25" s="345">
        <v>4.2002507612393901E-3</v>
      </c>
      <c r="Y25" s="345">
        <v>1.5194937011163922E-3</v>
      </c>
      <c r="Z25" s="373">
        <v>6.6093498119290323E-3</v>
      </c>
      <c r="AA25" s="345">
        <v>-0.1830198817839872</v>
      </c>
      <c r="AB25" s="412">
        <v>-0.17982267598065566</v>
      </c>
      <c r="AC25" s="345">
        <v>-0.19244133978147959</v>
      </c>
      <c r="AD25" s="383">
        <v>-0.18302286703683807</v>
      </c>
      <c r="AE25" s="533"/>
      <c r="AF25" s="534"/>
      <c r="AG25" s="372">
        <v>-3.8536461421190896E-2</v>
      </c>
      <c r="AH25" s="345">
        <v>-3.7435419666299666E-2</v>
      </c>
      <c r="AI25" s="345">
        <v>-3.5656813754552402E-2</v>
      </c>
      <c r="AJ25" s="373">
        <v>-3.8536461421190896E-2</v>
      </c>
      <c r="AK25" s="345">
        <v>-0.12297789446938255</v>
      </c>
      <c r="AL25" s="345">
        <v>-0.11671042601846374</v>
      </c>
      <c r="AM25" s="345">
        <v>-0.11781146777335479</v>
      </c>
      <c r="AN25" s="383">
        <v>-0.12297789446938255</v>
      </c>
      <c r="AO25" s="533"/>
      <c r="AP25" s="534"/>
      <c r="AQ25" s="91"/>
      <c r="AR25" s="91"/>
      <c r="AS25" s="91"/>
      <c r="AT25" s="91"/>
      <c r="AU25" s="91"/>
    </row>
    <row r="26" spans="1:47" x14ac:dyDescent="0.35">
      <c r="A26" s="546"/>
      <c r="B26" s="242" t="s">
        <v>77</v>
      </c>
      <c r="C26" s="372">
        <v>-6.1456683550324262E-3</v>
      </c>
      <c r="D26" s="345">
        <v>-2.4197351576454602E-2</v>
      </c>
      <c r="E26" s="345">
        <v>-9.2936272203022183E-2</v>
      </c>
      <c r="F26" s="373">
        <v>-4.1100153319130759E-3</v>
      </c>
      <c r="G26" s="345">
        <v>0.60665462377779023</v>
      </c>
      <c r="H26" s="345">
        <v>0.29477416209998297</v>
      </c>
      <c r="I26" s="345">
        <v>-1.8813303175510748E-2</v>
      </c>
      <c r="J26" s="383">
        <v>0.61043202598835189</v>
      </c>
      <c r="K26" s="533"/>
      <c r="L26" s="534"/>
      <c r="M26" s="372">
        <v>-3.2593276910239569E-2</v>
      </c>
      <c r="N26" s="345">
        <v>-3.317141494814637E-2</v>
      </c>
      <c r="O26" s="345">
        <v>-3.4852187388246463E-2</v>
      </c>
      <c r="P26" s="373">
        <v>-3.2606687328644642E-2</v>
      </c>
      <c r="Q26" s="345">
        <v>-8.5740255095959006E-2</v>
      </c>
      <c r="R26" s="345">
        <v>-8.9814042198116617E-2</v>
      </c>
      <c r="S26" s="345">
        <v>-0.11354601263559419</v>
      </c>
      <c r="T26" s="383">
        <v>-8.609041602097979E-2</v>
      </c>
      <c r="U26" s="533"/>
      <c r="V26" s="534"/>
      <c r="W26" s="372">
        <v>-9.1420141116100057E-2</v>
      </c>
      <c r="X26" s="345">
        <v>-9.4142398973701108E-2</v>
      </c>
      <c r="Y26" s="345">
        <v>-7.9448364336112923E-2</v>
      </c>
      <c r="Z26" s="373">
        <v>-9.1317511225144282E-2</v>
      </c>
      <c r="AA26" s="345">
        <v>-0.28192174470814624</v>
      </c>
      <c r="AB26" s="412">
        <v>-0.27736754329698526</v>
      </c>
      <c r="AC26" s="345">
        <v>-0.29680564464400261</v>
      </c>
      <c r="AD26" s="383">
        <v>-0.28207825529185376</v>
      </c>
      <c r="AE26" s="533"/>
      <c r="AF26" s="534"/>
      <c r="AG26" s="372">
        <v>-1.1935208866155735E-3</v>
      </c>
      <c r="AH26" s="345">
        <v>8.5251491901098875E-5</v>
      </c>
      <c r="AI26" s="345">
        <v>1.1935208866155735E-3</v>
      </c>
      <c r="AJ26" s="373">
        <v>-1.1935208866155735E-3</v>
      </c>
      <c r="AK26" s="345">
        <v>-0.11713554987212273</v>
      </c>
      <c r="AL26" s="345">
        <v>-0.10758738277919871</v>
      </c>
      <c r="AM26" s="345">
        <v>-0.11005967604433077</v>
      </c>
      <c r="AN26" s="383">
        <v>-0.11713554987212273</v>
      </c>
      <c r="AO26" s="533"/>
      <c r="AP26" s="534"/>
      <c r="AQ26" s="91"/>
      <c r="AR26" s="91"/>
      <c r="AS26" s="91"/>
      <c r="AT26" s="91"/>
      <c r="AU26" s="91"/>
    </row>
    <row r="27" spans="1:47" ht="15" thickBot="1" x14ac:dyDescent="0.4">
      <c r="A27" s="547"/>
      <c r="B27" s="242" t="s">
        <v>78</v>
      </c>
      <c r="C27" s="380">
        <v>5.0669334471316274E-2</v>
      </c>
      <c r="D27" s="381">
        <v>2.4785248856856169E-2</v>
      </c>
      <c r="E27" s="381">
        <v>-2.6899037405939127E-2</v>
      </c>
      <c r="F27" s="382">
        <v>5.0419818921070426E-2</v>
      </c>
      <c r="G27" s="381">
        <v>1.725520058640658</v>
      </c>
      <c r="H27" s="381">
        <v>1.0417747131303052</v>
      </c>
      <c r="I27" s="381">
        <v>0.41345098246747902</v>
      </c>
      <c r="J27" s="385">
        <v>1.7321798493673721</v>
      </c>
      <c r="K27" s="543"/>
      <c r="L27" s="544"/>
      <c r="M27" s="380">
        <v>4.5723467971661811E-4</v>
      </c>
      <c r="N27" s="381">
        <v>-2.2496530567525582E-4</v>
      </c>
      <c r="O27" s="381">
        <v>3.8857643707542979E-4</v>
      </c>
      <c r="P27" s="382">
        <v>4.4408735665765297E-4</v>
      </c>
      <c r="Q27" s="381">
        <v>-9.0970710685851983E-2</v>
      </c>
      <c r="R27" s="381">
        <v>-9.6261777810240312E-2</v>
      </c>
      <c r="S27" s="381">
        <v>-0.12748228763421229</v>
      </c>
      <c r="T27" s="385">
        <v>-9.1319845153750662E-2</v>
      </c>
      <c r="U27" s="543"/>
      <c r="V27" s="544"/>
      <c r="W27" s="380">
        <v>-1.0860817828524237E-2</v>
      </c>
      <c r="X27" s="381">
        <v>-1.2747761690224887E-2</v>
      </c>
      <c r="Y27" s="381">
        <v>-7.7036833235891739E-3</v>
      </c>
      <c r="Z27" s="382">
        <v>-1.0863110591418213E-2</v>
      </c>
      <c r="AA27" s="381">
        <v>-0.3437860393667389</v>
      </c>
      <c r="AB27" s="411">
        <v>-0.33799452029668359</v>
      </c>
      <c r="AC27" s="381">
        <v>-0.36220838921942883</v>
      </c>
      <c r="AD27" s="385">
        <v>-0.34378833212963289</v>
      </c>
      <c r="AE27" s="543"/>
      <c r="AF27" s="544"/>
      <c r="AG27" s="380">
        <v>-1.1152732845224E-2</v>
      </c>
      <c r="AH27" s="381">
        <v>-9.7054316363017843E-3</v>
      </c>
      <c r="AI27" s="381">
        <v>-8.0878596969181545E-3</v>
      </c>
      <c r="AJ27" s="382">
        <v>-1.1152732845224E-2</v>
      </c>
      <c r="AK27" s="381">
        <v>-0.11825302230546571</v>
      </c>
      <c r="AL27" s="381">
        <v>-0.10556785288608897</v>
      </c>
      <c r="AM27" s="381">
        <v>-0.10931380895624047</v>
      </c>
      <c r="AN27" s="385">
        <v>-0.11825302230546571</v>
      </c>
      <c r="AO27" s="543"/>
      <c r="AP27" s="544"/>
      <c r="AQ27" s="91"/>
      <c r="AR27" s="91"/>
      <c r="AS27" s="91"/>
      <c r="AT27" s="91"/>
      <c r="AU27" s="91"/>
    </row>
    <row r="28" spans="1:47" ht="15" thickBot="1" x14ac:dyDescent="0.4">
      <c r="A28" s="342"/>
      <c r="B28" s="343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341"/>
      <c r="AP28" s="341"/>
      <c r="AQ28" s="91"/>
      <c r="AR28" s="91"/>
      <c r="AS28" s="91"/>
      <c r="AT28" s="91"/>
      <c r="AU28" s="91"/>
    </row>
    <row r="29" spans="1:47" x14ac:dyDescent="0.35">
      <c r="A29" s="342"/>
      <c r="B29" s="343" t="s">
        <v>108</v>
      </c>
      <c r="C29" s="376" cm="1">
        <f t="array" ref="C29">AVERAGE(ABS(C4:C27))</f>
        <v>0.15001795630229756</v>
      </c>
      <c r="D29" s="377" cm="1">
        <f t="array" ref="D29">AVERAGE(ABS(D4:D27))</f>
        <v>0.13992101242401314</v>
      </c>
      <c r="E29" s="377" cm="1">
        <f t="array" ref="E29">AVERAGE(ABS(E4:E27))</f>
        <v>0.11770066054240229</v>
      </c>
      <c r="F29" s="379" cm="1">
        <f t="array" ref="F29">AVERAGE(ABS(F4:F27))</f>
        <v>0.15170884130970821</v>
      </c>
      <c r="G29" s="376" cm="1">
        <f t="array" ref="G29">AVERAGE(ABS(G4:G27))</f>
        <v>1.0222612002063356</v>
      </c>
      <c r="H29" s="377" cm="1">
        <f t="array" ref="H29">AVERAGE(ABS(H4:H27))</f>
        <v>0.78659071866964547</v>
      </c>
      <c r="I29" s="377" cm="1">
        <f t="array" ref="I29">AVERAGE(ABS(I4:I27))</f>
        <v>0.86674888524834248</v>
      </c>
      <c r="J29" s="379" cm="1">
        <f t="array" ref="J29">AVERAGE(ABS(J4:J27))</f>
        <v>1.030005631985802</v>
      </c>
      <c r="K29" s="228"/>
      <c r="L29" s="343" t="s">
        <v>108</v>
      </c>
      <c r="M29" s="376" cm="1">
        <f t="array" ref="M29">AVERAGE(ABS(M4:M27))</f>
        <v>4.6503625237343388E-2</v>
      </c>
      <c r="N29" s="377" cm="1">
        <f t="array" ref="N29">AVERAGE(ABS(N4:N27))</f>
        <v>4.6815342761204144E-2</v>
      </c>
      <c r="O29" s="377" cm="1">
        <f t="array" ref="O29">AVERAGE(ABS(O4:O27))</f>
        <v>4.6939504994499427E-2</v>
      </c>
      <c r="P29" s="379" cm="1">
        <f t="array" ref="P29">AVERAGE(ABS(P4:P27))</f>
        <v>4.6677573459635878E-2</v>
      </c>
      <c r="Q29" s="376" cm="1">
        <f t="array" ref="Q29">AVERAGE(ABS(Q4:Q27))</f>
        <v>0.13022043210984902</v>
      </c>
      <c r="R29" s="377" cm="1">
        <f t="array" ref="R29">AVERAGE(ABS(R4:R27))</f>
        <v>0.13106220860414822</v>
      </c>
      <c r="S29" s="377" cm="1">
        <f t="array" ref="S29">AVERAGE(ABS(S4:S27))</f>
        <v>0.13708012485097906</v>
      </c>
      <c r="T29" s="379" cm="1">
        <f t="array" ref="T29">AVERAGE(ABS(T4:T27))</f>
        <v>0.1301122092205223</v>
      </c>
      <c r="U29" s="228"/>
      <c r="V29" s="343" t="s">
        <v>108</v>
      </c>
      <c r="W29" s="376" cm="1">
        <f t="array" ref="W29">AVERAGE(ABS(W4:W27))</f>
        <v>3.3444723466589416E-2</v>
      </c>
      <c r="X29" s="377" cm="1">
        <f t="array" ref="X29">AVERAGE(ABS(X4:X27))</f>
        <v>3.3684124859575469E-2</v>
      </c>
      <c r="Y29" s="377" cm="1">
        <f t="array" ref="Y29">AVERAGE(ABS(Y4:Y27))</f>
        <v>3.4005864641574603E-2</v>
      </c>
      <c r="Z29" s="379" cm="1">
        <f t="array" ref="Z29">AVERAGE(ABS(Z4:Z27))</f>
        <v>3.343376420297605E-2</v>
      </c>
      <c r="AA29" s="376" cm="1">
        <f t="array" ref="AA29">AVERAGE(ABS(AA4:AA27))</f>
        <v>0.11816733279572549</v>
      </c>
      <c r="AB29" s="377" cm="1">
        <f t="array" ref="AB29">AVERAGE(ABS(AB4:AB27))</f>
        <v>0.11846856750952502</v>
      </c>
      <c r="AC29" s="413" cm="1">
        <f t="array" ref="AC29">AVERAGE(ABS(AC4:AC27))</f>
        <v>0.10367555318785286</v>
      </c>
      <c r="AD29" s="379" cm="1">
        <f t="array" ref="AD29">AVERAGE(ABS(AD4:AD27))</f>
        <v>0.11818648800486893</v>
      </c>
      <c r="AE29" s="228"/>
      <c r="AF29" s="343" t="s">
        <v>108</v>
      </c>
      <c r="AG29" s="376" cm="1">
        <f t="array" ref="AG29">AVERAGE(ABS(AG4:AG27))</f>
        <v>1.5675634935489551E-2</v>
      </c>
      <c r="AH29" s="377" cm="1">
        <f t="array" ref="AH29">AVERAGE(ABS(AH4:AH27))</f>
        <v>1.5684043596424616E-2</v>
      </c>
      <c r="AI29" s="377" cm="1">
        <f t="array" ref="AI29">AVERAGE(ABS(AI4:AI27))</f>
        <v>1.6201674210608068E-2</v>
      </c>
      <c r="AJ29" s="379" cm="1">
        <f t="array" ref="AJ29">AVERAGE(ABS(AJ4:AJ27))</f>
        <v>1.5679260351739922E-2</v>
      </c>
      <c r="AK29" s="376" cm="1">
        <f t="array" ref="AK29">AVERAGE(ABS(AK4:AK27))</f>
        <v>5.4851630482665011E-2</v>
      </c>
      <c r="AL29" s="377" cm="1">
        <f t="array" ref="AL29">AVERAGE(ABS(AL4:AL27))</f>
        <v>5.6554423548711229E-2</v>
      </c>
      <c r="AM29" s="377" cm="1">
        <f t="array" ref="AM29">AVERAGE(ABS(AM4:AM27))</f>
        <v>5.7714503605699595E-2</v>
      </c>
      <c r="AN29" s="379" cm="1">
        <f t="array" ref="AN29">AVERAGE(ABS(AN4:AN27))</f>
        <v>5.4849916493526697E-2</v>
      </c>
      <c r="AO29" s="395"/>
      <c r="AP29" s="395"/>
      <c r="AQ29" s="91"/>
      <c r="AR29" s="91"/>
      <c r="AS29" s="91"/>
      <c r="AT29" s="91"/>
      <c r="AU29" s="91"/>
    </row>
    <row r="30" spans="1:47" x14ac:dyDescent="0.35">
      <c r="A30" s="342"/>
      <c r="B30" s="343" t="s">
        <v>126</v>
      </c>
      <c r="C30" s="384" cm="1">
        <f t="array" ref="C30">_xlfn.STDEV.P(ABS(C4:C27))</f>
        <v>0.15451145496897326</v>
      </c>
      <c r="D30" s="228" cm="1">
        <f t="array" ref="D30">_xlfn.STDEV.P(ABS(D4:D27))</f>
        <v>0.14245611157149463</v>
      </c>
      <c r="E30" s="228" cm="1">
        <f t="array" ref="E30">_xlfn.STDEV.P(ABS(E4:E27))</f>
        <v>0.13295653704861085</v>
      </c>
      <c r="F30" s="374" cm="1">
        <f t="array" ref="F30">_xlfn.STDEV.P(ABS(F4:F27))</f>
        <v>0.15486313347048031</v>
      </c>
      <c r="G30" s="384" cm="1">
        <f t="array" ref="G30">_xlfn.STDEV.P(ABS(G4:G27))</f>
        <v>1.7153069751447061</v>
      </c>
      <c r="H30" s="228" cm="1">
        <f t="array" ref="H30">_xlfn.STDEV.P(ABS(H4:H27))</f>
        <v>1.3312108249928678</v>
      </c>
      <c r="I30" s="228" cm="1">
        <f t="array" ref="I30">_xlfn.STDEV.P(ABS(I4:I27))</f>
        <v>1.3526052423745132</v>
      </c>
      <c r="J30" s="374" cm="1">
        <f t="array" ref="J30">_xlfn.STDEV.P(ABS(J4:J27))</f>
        <v>1.7381534610740321</v>
      </c>
      <c r="K30" s="228"/>
      <c r="L30" s="343" t="s">
        <v>126</v>
      </c>
      <c r="M30" s="384" cm="1">
        <f t="array" ref="M30">_xlfn.STDEV.P(ABS(M4:M27))</f>
        <v>3.9470834105628919E-2</v>
      </c>
      <c r="N30" s="228" cm="1">
        <f t="array" ref="N30">_xlfn.STDEV.P(ABS(N4:N27))</f>
        <v>3.9816554486489131E-2</v>
      </c>
      <c r="O30" s="228" cm="1">
        <f t="array" ref="O30">_xlfn.STDEV.P(ABS(O4:O27))</f>
        <v>4.0085536266403571E-2</v>
      </c>
      <c r="P30" s="374" cm="1">
        <f t="array" ref="P30">_xlfn.STDEV.P(ABS(P4:P27))</f>
        <v>3.9486749728275879E-2</v>
      </c>
      <c r="Q30" s="384" cm="1">
        <f t="array" ref="Q30">_xlfn.STDEV.P(ABS(Q4:Q27))</f>
        <v>9.5957280476341056E-2</v>
      </c>
      <c r="R30" s="228" cm="1">
        <f t="array" ref="R30">_xlfn.STDEV.P(ABS(R4:R27))</f>
        <v>9.4358248094211672E-2</v>
      </c>
      <c r="S30" s="228" cm="1">
        <f t="array" ref="S30">_xlfn.STDEV.P(ABS(S4:S27))</f>
        <v>0.10200350140594434</v>
      </c>
      <c r="T30" s="374" cm="1">
        <f t="array" ref="T30">_xlfn.STDEV.P(ABS(T4:T27))</f>
        <v>9.590585649545573E-2</v>
      </c>
      <c r="U30" s="228"/>
      <c r="V30" s="343" t="s">
        <v>126</v>
      </c>
      <c r="W30" s="384" cm="1">
        <f t="array" ref="W30">_xlfn.STDEV.P(ABS(W4:W27))</f>
        <v>2.669459848923237E-2</v>
      </c>
      <c r="X30" s="228" cm="1">
        <f t="array" ref="X30">_xlfn.STDEV.P(ABS(X4:X27))</f>
        <v>2.6771970055262471E-2</v>
      </c>
      <c r="Y30" s="228" cm="1">
        <f t="array" ref="Y30">_xlfn.STDEV.P(ABS(Y4:Y27))</f>
        <v>2.5755609119263244E-2</v>
      </c>
      <c r="Z30" s="374" cm="1">
        <f t="array" ref="Z30">_xlfn.STDEV.P(ABS(Z4:Z27))</f>
        <v>2.6680080179040562E-2</v>
      </c>
      <c r="AA30" s="384" cm="1">
        <f t="array" ref="AA30">_xlfn.STDEV.P(ABS(AA4:AA27))</f>
        <v>7.7683362821266283E-2</v>
      </c>
      <c r="AB30" s="409" cm="1">
        <f t="array" ref="AB30">_xlfn.STDEV.P(ABS(AB4:AB27))</f>
        <v>7.6837085673950353E-2</v>
      </c>
      <c r="AC30" s="228" cm="1">
        <f t="array" ref="AC30">_xlfn.STDEV.P(ABS(AC4:AC27))</f>
        <v>8.3079429674011981E-2</v>
      </c>
      <c r="AD30" s="374" cm="1">
        <f t="array" ref="AD30">_xlfn.STDEV.P(ABS(AD4:AD27))</f>
        <v>7.7699778362036898E-2</v>
      </c>
      <c r="AE30" s="228"/>
      <c r="AF30" s="343" t="s">
        <v>126</v>
      </c>
      <c r="AG30" s="384" cm="1">
        <f t="array" ref="AG30">_xlfn.STDEV.P(ABS(AG4:AG27))</f>
        <v>9.8934088140128287E-3</v>
      </c>
      <c r="AH30" s="228" cm="1">
        <f t="array" ref="AH30">_xlfn.STDEV.P(ABS(AH4:AH27))</f>
        <v>1.0235239315739515E-2</v>
      </c>
      <c r="AI30" s="228" cm="1">
        <f t="array" ref="AI30">_xlfn.STDEV.P(ABS(AI4:AI27))</f>
        <v>9.4041691854440841E-3</v>
      </c>
      <c r="AJ30" s="374" cm="1">
        <f t="array" ref="AJ30">_xlfn.STDEV.P(ABS(AJ4:AJ27))</f>
        <v>9.907578646764283E-3</v>
      </c>
      <c r="AK30" s="384" cm="1">
        <f t="array" ref="AK30">_xlfn.STDEV.P(ABS(AK4:AK27))</f>
        <v>4.2280346847901877E-2</v>
      </c>
      <c r="AL30" s="228" cm="1">
        <f t="array" ref="AL30">_xlfn.STDEV.P(ABS(AL4:AL27))</f>
        <v>4.1232716853454254E-2</v>
      </c>
      <c r="AM30" s="228" cm="1">
        <f t="array" ref="AM30">_xlfn.STDEV.P(ABS(AM4:AM27))</f>
        <v>4.1540662301043037E-2</v>
      </c>
      <c r="AN30" s="374" cm="1">
        <f t="array" ref="AN30">_xlfn.STDEV.P(ABS(AN4:AN27))</f>
        <v>4.2292183250771373E-2</v>
      </c>
      <c r="AO30" s="341"/>
      <c r="AP30" s="341"/>
      <c r="AQ30" s="91"/>
      <c r="AR30" s="91"/>
      <c r="AS30" s="91"/>
      <c r="AT30" s="91"/>
      <c r="AU30" s="91"/>
    </row>
    <row r="31" spans="1:47" ht="15" thickBot="1" x14ac:dyDescent="0.4">
      <c r="A31" s="342"/>
      <c r="B31" s="343" t="s">
        <v>127</v>
      </c>
      <c r="C31" s="396" cm="1">
        <f t="array" ref="C31">MAX(ABS(C4:C27))</f>
        <v>0.69227322988750384</v>
      </c>
      <c r="D31" s="397" cm="1">
        <f t="array" ref="D31">MAX(ABS(D4:D27))</f>
        <v>0.63586479709701016</v>
      </c>
      <c r="E31" s="397" cm="1">
        <f t="array" ref="E31">MAX(ABS(E4:E27))</f>
        <v>0.66464187635298944</v>
      </c>
      <c r="F31" s="398" cm="1">
        <f t="array" ref="F31">MAX(ABS(F4:F27))</f>
        <v>0.69255356150943004</v>
      </c>
      <c r="G31" s="396" cm="1">
        <f t="array" ref="G31">MAX(ABS(G4:G27))</f>
        <v>7.610473932508544</v>
      </c>
      <c r="H31" s="397" cm="1">
        <f t="array" ref="H31">MAX(ABS(H4:H27))</f>
        <v>5.8014760747123661</v>
      </c>
      <c r="I31" s="397" cm="1">
        <f t="array" ref="I31">MAX(ABS(I4:I27))</f>
        <v>5.7142980070283533</v>
      </c>
      <c r="J31" s="398" cm="1">
        <f t="array" ref="J31">MAX(ABS(J4:J27))</f>
        <v>7.7050817166514225</v>
      </c>
      <c r="K31" s="228"/>
      <c r="L31" s="343" t="s">
        <v>127</v>
      </c>
      <c r="M31" s="396" cm="1">
        <f t="array" ref="M31">MAX(ABS(M4:M27))</f>
        <v>0.19948593402145312</v>
      </c>
      <c r="N31" s="397" cm="1">
        <f t="array" ref="N31">MAX(ABS(N4:N27))</f>
        <v>0.20194292653309051</v>
      </c>
      <c r="O31" s="397" cm="1">
        <f t="array" ref="O31">MAX(ABS(O4:O27))</f>
        <v>0.19862780813600486</v>
      </c>
      <c r="P31" s="398" cm="1">
        <f t="array" ref="P31">MAX(ABS(P4:P27))</f>
        <v>0.19947783849423192</v>
      </c>
      <c r="Q31" s="396" cm="1">
        <f t="array" ref="Q31">MAX(ABS(Q4:Q27))</f>
        <v>0.38450811854016875</v>
      </c>
      <c r="R31" s="397" cm="1">
        <f t="array" ref="R31">MAX(ABS(R4:R27))</f>
        <v>0.38051996586364439</v>
      </c>
      <c r="S31" s="397" cm="1">
        <f t="array" ref="S31">MAX(ABS(S4:S27))</f>
        <v>0.41764604168874575</v>
      </c>
      <c r="T31" s="398" cm="1">
        <f t="array" ref="T31">MAX(ABS(T4:T27))</f>
        <v>0.38414834812389487</v>
      </c>
      <c r="U31" s="228"/>
      <c r="V31" s="343" t="s">
        <v>127</v>
      </c>
      <c r="W31" s="396" cm="1">
        <f t="array" ref="W31">MAX(ABS(W4:W27))</f>
        <v>9.1420141116100057E-2</v>
      </c>
      <c r="X31" s="397" cm="1">
        <f t="array" ref="X31">MAX(ABS(X4:X27))</f>
        <v>9.4142398973701108E-2</v>
      </c>
      <c r="Y31" s="397" cm="1">
        <f t="array" ref="Y31">MAX(ABS(Y4:Y27))</f>
        <v>7.9448364336112923E-2</v>
      </c>
      <c r="Z31" s="398" cm="1">
        <f t="array" ref="Z31">MAX(ABS(Z4:Z27))</f>
        <v>9.1317511225144282E-2</v>
      </c>
      <c r="AA31" s="396" cm="1">
        <f t="array" ref="AA31">MAX(ABS(AA4:AA27))</f>
        <v>0.3437860393667389</v>
      </c>
      <c r="AB31" s="410" cm="1">
        <f t="array" ref="AB31">MAX(ABS(AB4:AB27))</f>
        <v>0.33799452029668359</v>
      </c>
      <c r="AC31" s="397" cm="1">
        <f t="array" ref="AC31">MAX(ABS(AC4:AC27))</f>
        <v>0.36220838921942883</v>
      </c>
      <c r="AD31" s="398" cm="1">
        <f t="array" ref="AD31">MAX(ABS(AD4:AD27))</f>
        <v>0.34378833212963289</v>
      </c>
      <c r="AE31" s="228"/>
      <c r="AF31" s="343" t="s">
        <v>127</v>
      </c>
      <c r="AG31" s="396" cm="1">
        <f t="array" ref="AG31">MAX(ABS(AG4:AG27))</f>
        <v>3.863615306216979E-2</v>
      </c>
      <c r="AH31" s="397" cm="1">
        <f t="array" ref="AH31">MAX(ABS(AH4:AH27))</f>
        <v>3.7435419666299666E-2</v>
      </c>
      <c r="AI31" s="397" cm="1">
        <f t="array" ref="AI31">MAX(ABS(AI4:AI27))</f>
        <v>3.6319836931344301E-2</v>
      </c>
      <c r="AJ31" s="398" cm="1">
        <f t="array" ref="AJ31">MAX(ABS(AJ4:AJ27))</f>
        <v>3.8728805707402801E-2</v>
      </c>
      <c r="AK31" s="396" cm="1">
        <f t="array" ref="AK31">MAX(ABS(AK4:AK27))</f>
        <v>0.16409837738544755</v>
      </c>
      <c r="AL31" s="397" cm="1">
        <f t="array" ref="AL31">MAX(ABS(AL4:AL27))</f>
        <v>0.1674660679661189</v>
      </c>
      <c r="AM31" s="397" cm="1">
        <f t="array" ref="AM31">MAX(ABS(AM4:AM27))</f>
        <v>0.16420042861516485</v>
      </c>
      <c r="AN31" s="398" cm="1">
        <f t="array" ref="AN31">MAX(ABS(AN4:AN27))</f>
        <v>0.16420042861516485</v>
      </c>
      <c r="AO31" s="341"/>
      <c r="AP31" s="341"/>
      <c r="AQ31" s="91"/>
      <c r="AR31" s="91"/>
      <c r="AS31" s="91"/>
      <c r="AT31" s="91"/>
      <c r="AU31" s="91"/>
    </row>
    <row r="32" spans="1:47" x14ac:dyDescent="0.35">
      <c r="A32" s="342"/>
      <c r="B32" s="343" t="s">
        <v>128</v>
      </c>
      <c r="C32" s="399" cm="1">
        <f t="array" ref="C32">SUMPRODUCT((ABS(C4:C27)=_xlfn.BYROW(ABS($C$4:$F$27),_xlfn.LAMBDA(_xlpm.r,LARGE(_xlpm.r,1))))*1)</f>
        <v>7</v>
      </c>
      <c r="D32" s="400" cm="1">
        <f t="array" ref="D32">SUMPRODUCT((ABS(D4:D27)=_xlfn.BYROW(ABS($C$4:$F$27),_xlfn.LAMBDA(_xlpm.r,LARGE(_xlpm.r,1))))*1)</f>
        <v>0</v>
      </c>
      <c r="E32" s="400" cm="1">
        <f t="array" ref="E32">SUMPRODUCT((ABS(E4:E27)=_xlfn.BYROW(ABS($C$4:$F$27),_xlfn.LAMBDA(_xlpm.r,LARGE(_xlpm.r,1))))*1)</f>
        <v>10</v>
      </c>
      <c r="F32" s="401" cm="1">
        <f t="array" ref="F32">SUMPRODUCT((ABS(F4:F27)=_xlfn.BYROW(ABS($C$4:$F$27),_xlfn.LAMBDA(_xlpm.r,LARGE(_xlpm.r,1))))*1)</f>
        <v>7</v>
      </c>
      <c r="G32" s="399" cm="1">
        <f t="array" ref="G32">SUMPRODUCT((ABS(G4:G27)=_xlfn.BYROW(ABS($G$4:$J$27),_xlfn.LAMBDA(_xlpm.r,LARGE(_xlpm.r,1))))*1)</f>
        <v>4</v>
      </c>
      <c r="H32" s="400" cm="1">
        <f t="array" ref="H32">SUMPRODUCT((ABS(H4:H27)=_xlfn.BYROW(ABS($G$4:$J$27),_xlfn.LAMBDA(_xlpm.r,LARGE(_xlpm.r,1))))*1)</f>
        <v>1</v>
      </c>
      <c r="I32" s="400" cm="1">
        <f t="array" ref="I32">SUMPRODUCT((ABS(I4:I27)=_xlfn.BYROW(ABS($G$4:$J$27),_xlfn.LAMBDA(_xlpm.r,LARGE(_xlpm.r,1))))*1)</f>
        <v>10</v>
      </c>
      <c r="J32" s="401" cm="1">
        <f t="array" ref="J32">SUMPRODUCT((ABS(J4:J27)=_xlfn.BYROW(ABS($G$4:$J$27),_xlfn.LAMBDA(_xlpm.r,LARGE(_xlpm.r,1))))*1)</f>
        <v>9</v>
      </c>
      <c r="K32" s="394"/>
      <c r="L32" s="343" t="s">
        <v>128</v>
      </c>
      <c r="M32" s="399" cm="1">
        <f t="array" ref="M32">SUMPRODUCT((ABS(M4:M27)=_xlfn.BYROW(ABS($M$4:$P$27),_xlfn.LAMBDA(_xlpm.r,LARGE(_xlpm.r,1))))*1)</f>
        <v>5</v>
      </c>
      <c r="N32" s="400" cm="1">
        <f t="array" ref="N32">SUMPRODUCT((ABS(N4:N27)=_xlfn.BYROW(ABS($M$4:$P$27),_xlfn.LAMBDA(_xlpm.r,LARGE(_xlpm.r,1))))*1)</f>
        <v>8</v>
      </c>
      <c r="O32" s="400" cm="1">
        <f t="array" ref="O32">SUMPRODUCT((ABS(O4:O27)=_xlfn.BYROW(ABS($M$4:$P$27),_xlfn.LAMBDA(_xlpm.r,LARGE(_xlpm.r,1))))*1)</f>
        <v>11</v>
      </c>
      <c r="P32" s="401" cm="1">
        <f t="array" ref="P32">SUMPRODUCT((ABS(P4:P27)=_xlfn.BYROW(ABS($M$4:$P$27),_xlfn.LAMBDA(_xlpm.r,LARGE(_xlpm.r,1))))*1)</f>
        <v>0</v>
      </c>
      <c r="Q32" s="399" cm="1">
        <f t="array" ref="Q32">SUMPRODUCT((ABS(Q4:Q27)=_xlfn.BYROW(ABS($Q$4:$T$27),_xlfn.LAMBDA(_xlpm.r,LARGE(_xlpm.r,1))))*1)</f>
        <v>1</v>
      </c>
      <c r="R32" s="400" cm="1">
        <f t="array" ref="R32">SUMPRODUCT((ABS(R4:R27)=_xlfn.BYROW(ABS($Q$4:$T$27),_xlfn.LAMBDA(_xlpm.r,LARGE(_xlpm.r,1))))*1)</f>
        <v>8</v>
      </c>
      <c r="S32" s="400" cm="1">
        <f t="array" ref="S32">SUMPRODUCT((ABS(S4:S27)=_xlfn.BYROW(ABS($Q$4:$T$27),_xlfn.LAMBDA(_xlpm.r,LARGE(_xlpm.r,1))))*1)</f>
        <v>13</v>
      </c>
      <c r="T32" s="401" cm="1">
        <f t="array" ref="T32">SUMPRODUCT((ABS(T4:T27)=_xlfn.BYROW(ABS($Q$4:$T$27),_xlfn.LAMBDA(_xlpm.r,LARGE(_xlpm.r,1))))*1)</f>
        <v>2</v>
      </c>
      <c r="U32" s="394"/>
      <c r="V32" s="343" t="s">
        <v>128</v>
      </c>
      <c r="W32" s="399" cm="1">
        <f t="array" ref="W32">SUMPRODUCT((ABS(W4:W27)=_xlfn.BYROW(ABS($W$4:$Z$27),_xlfn.LAMBDA(_xlpm.r,LARGE(_xlpm.r,1))))*1)</f>
        <v>1</v>
      </c>
      <c r="X32" s="400" cm="1">
        <f t="array" ref="X32">SUMPRODUCT((ABS(X4:X27)=_xlfn.BYROW(ABS($W$4:$Z$27),_xlfn.LAMBDA(_xlpm.r,LARGE(_xlpm.r,1))))*1)</f>
        <v>9</v>
      </c>
      <c r="Y32" s="400" cm="1">
        <f t="array" ref="Y32">SUMPRODUCT((ABS(Y4:Y27)=_xlfn.BYROW(ABS($W$4:$Z$27),_xlfn.LAMBDA(_xlpm.r,LARGE(_xlpm.r,1))))*1)</f>
        <v>10</v>
      </c>
      <c r="Z32" s="401" cm="1">
        <f t="array" ref="Z32">SUMPRODUCT((ABS(Z4:Z27)=_xlfn.BYROW(ABS($W$4:$Z$27),_xlfn.LAMBDA(_xlpm.r,LARGE(_xlpm.r,1))))*1)</f>
        <v>4</v>
      </c>
      <c r="AA32" s="408" cm="1">
        <f t="array" ref="AA32">SUMPRODUCT((ABS(AA4:AA27)=_xlfn.BYROW(ABS($AA$4:$AD$27),_xlfn.LAMBDA(_xlpm.r,LARGE(_xlpm.r,1))))*1)</f>
        <v>2</v>
      </c>
      <c r="AB32" s="400" cm="1">
        <f t="array" ref="AB32">SUMPRODUCT((ABS(AB4:AB27)=_xlfn.BYROW(ABS($AA$4:$AD$27),_xlfn.LAMBDA(_xlpm.r,LARGE(_xlpm.r,1))))*1)</f>
        <v>12</v>
      </c>
      <c r="AC32" s="400" cm="1">
        <f t="array" ref="AC32">SUMPRODUCT((ABS(AC4:AC27)=_xlfn.BYROW(ABS($AA$4:$AD$27),_xlfn.LAMBDA(_xlpm.r,LARGE(_xlpm.r,1))))*1)</f>
        <v>8</v>
      </c>
      <c r="AD32" s="401" cm="1">
        <f t="array" ref="AD32">SUMPRODUCT((ABS(AD4:AD27)=_xlfn.BYROW(ABS($AA$4:$AD$27),_xlfn.LAMBDA(_xlpm.r,LARGE(_xlpm.r,1))))*1)</f>
        <v>4</v>
      </c>
      <c r="AE32" s="394"/>
      <c r="AF32" s="343" t="s">
        <v>128</v>
      </c>
      <c r="AG32" s="399" cm="1">
        <f t="array" ref="AG32">SUMPRODUCT((ABS(AG4:AG27)=_xlfn.BYROW(ABS($AG$4:$AJ$27),_xlfn.LAMBDA(_xlpm.r,LARGE(_xlpm.r,1))))*1)</f>
        <v>6</v>
      </c>
      <c r="AH32" s="400" cm="1">
        <f t="array" ref="AH32">SUMPRODUCT((ABS(AH4:AH27)=_xlfn.BYROW(ABS($AG$4:$AJ$27),_xlfn.LAMBDA(_xlpm.r,LARGE(_xlpm.r,1))))*1)</f>
        <v>5</v>
      </c>
      <c r="AI32" s="400" cm="1">
        <f t="array" ref="AI32">SUMPRODUCT((ABS(AI4:AI27)=_xlfn.BYROW(ABS($AG$4:$AJ$27),_xlfn.LAMBDA(_xlpm.r,LARGE(_xlpm.r,1))))*1)</f>
        <v>12</v>
      </c>
      <c r="AJ32" s="401" cm="1">
        <f t="array" ref="AJ32">SUMPRODUCT((ABS(AJ4:AJ27)=_xlfn.BYROW(ABS($AG$4:$AJ$27),_xlfn.LAMBDA(_xlpm.r,LARGE(_xlpm.r,1))))*1)</f>
        <v>7</v>
      </c>
      <c r="AK32" s="399" cm="1">
        <f t="array" ref="AK32">SUMPRODUCT((ABS(AK4:AK27)=_xlfn.BYROW(ABS($AK$4:$AN$27),_xlfn.LAMBDA(_xlpm.r,LARGE(_xlpm.r,1))))*1)</f>
        <v>8</v>
      </c>
      <c r="AL32" s="400" cm="1">
        <f t="array" ref="AL32">SUMPRODUCT((ABS(AL4:AL27)=_xlfn.BYROW(ABS($AK$4:$AN$27),_xlfn.LAMBDA(_xlpm.r,LARGE(_xlpm.r,1))))*1)</f>
        <v>8</v>
      </c>
      <c r="AM32" s="400" cm="1">
        <f t="array" ref="AM32">SUMPRODUCT((ABS(AM4:AM27)=_xlfn.BYROW(ABS($AK$4:$AN$27),_xlfn.LAMBDA(_xlpm.r,LARGE(_xlpm.r,1))))*1)</f>
        <v>7</v>
      </c>
      <c r="AN32" s="401" cm="1">
        <f t="array" ref="AN32">SUMPRODUCT((ABS(AN4:AN27)=_xlfn.BYROW(ABS($AK$4:$AN$27),_xlfn.LAMBDA(_xlpm.r,LARGE(_xlpm.r,1))))*1)</f>
        <v>7</v>
      </c>
      <c r="AO32" s="341"/>
      <c r="AP32" s="341"/>
      <c r="AQ32" s="91"/>
      <c r="AR32" s="91"/>
      <c r="AS32" s="91"/>
      <c r="AT32" s="91"/>
      <c r="AU32" s="91"/>
    </row>
    <row r="33" spans="1:47" x14ac:dyDescent="0.35">
      <c r="A33" s="342"/>
      <c r="B33" s="343" t="s">
        <v>210</v>
      </c>
      <c r="C33" s="402">
        <f>COUNTIF(C4:C27,"&lt;0")</f>
        <v>7</v>
      </c>
      <c r="D33" s="394">
        <f t="shared" ref="D33:J33" si="12">COUNTIF(D4:D27,"&lt;0")</f>
        <v>9</v>
      </c>
      <c r="E33" s="394">
        <f t="shared" si="12"/>
        <v>11</v>
      </c>
      <c r="F33" s="403">
        <f t="shared" si="12"/>
        <v>8</v>
      </c>
      <c r="G33" s="402">
        <f t="shared" si="12"/>
        <v>6</v>
      </c>
      <c r="H33" s="394">
        <f t="shared" si="12"/>
        <v>9</v>
      </c>
      <c r="I33" s="394">
        <f t="shared" si="12"/>
        <v>11</v>
      </c>
      <c r="J33" s="403">
        <f t="shared" si="12"/>
        <v>6</v>
      </c>
      <c r="K33" s="394"/>
      <c r="L33" s="343" t="s">
        <v>210</v>
      </c>
      <c r="M33" s="402">
        <f>COUNTIF(M4:M27,"&lt;0")</f>
        <v>14</v>
      </c>
      <c r="N33" s="394">
        <f t="shared" ref="N33:T33" si="13">COUNTIF(N4:N27,"&lt;0")</f>
        <v>15</v>
      </c>
      <c r="O33" s="394">
        <f t="shared" si="13"/>
        <v>14</v>
      </c>
      <c r="P33" s="403">
        <f t="shared" si="13"/>
        <v>14</v>
      </c>
      <c r="Q33" s="402">
        <f t="shared" si="13"/>
        <v>17</v>
      </c>
      <c r="R33" s="394">
        <f t="shared" si="13"/>
        <v>17</v>
      </c>
      <c r="S33" s="394">
        <f t="shared" si="13"/>
        <v>17</v>
      </c>
      <c r="T33" s="403">
        <f t="shared" si="13"/>
        <v>17</v>
      </c>
      <c r="U33" s="394"/>
      <c r="V33" s="343" t="s">
        <v>210</v>
      </c>
      <c r="W33" s="402">
        <f>COUNTIF(W4:W27,"&lt;0")</f>
        <v>12</v>
      </c>
      <c r="X33" s="394">
        <f t="shared" ref="X33:AD33" si="14">COUNTIF(X4:X27,"&lt;0")</f>
        <v>12</v>
      </c>
      <c r="Y33" s="394">
        <f t="shared" si="14"/>
        <v>11</v>
      </c>
      <c r="Z33" s="403">
        <f t="shared" si="14"/>
        <v>12</v>
      </c>
      <c r="AA33" s="402">
        <f t="shared" si="14"/>
        <v>16</v>
      </c>
      <c r="AB33" s="394">
        <f t="shared" si="14"/>
        <v>16</v>
      </c>
      <c r="AC33" s="394">
        <f t="shared" si="14"/>
        <v>17</v>
      </c>
      <c r="AD33" s="403">
        <f t="shared" si="14"/>
        <v>16</v>
      </c>
      <c r="AE33" s="394"/>
      <c r="AF33" s="343" t="s">
        <v>210</v>
      </c>
      <c r="AG33" s="402">
        <f>COUNTIF(AG4:AG27,"&lt;0")</f>
        <v>12</v>
      </c>
      <c r="AH33" s="394">
        <f t="shared" ref="AH33:AN33" si="15">COUNTIF(AH4:AH27,"&lt;0")</f>
        <v>11</v>
      </c>
      <c r="AI33" s="394">
        <f t="shared" si="15"/>
        <v>11</v>
      </c>
      <c r="AJ33" s="403">
        <f t="shared" si="15"/>
        <v>12</v>
      </c>
      <c r="AK33" s="402">
        <f t="shared" si="15"/>
        <v>11</v>
      </c>
      <c r="AL33" s="394">
        <f t="shared" si="15"/>
        <v>9</v>
      </c>
      <c r="AM33" s="394">
        <f t="shared" si="15"/>
        <v>9</v>
      </c>
      <c r="AN33" s="403">
        <f t="shared" si="15"/>
        <v>11</v>
      </c>
      <c r="AO33" s="341"/>
      <c r="AP33" s="341"/>
      <c r="AQ33" s="91"/>
      <c r="AR33" s="91"/>
      <c r="AS33" s="91"/>
      <c r="AT33" s="91"/>
      <c r="AU33" s="91"/>
    </row>
    <row r="34" spans="1:47" ht="14.5" customHeight="1" thickBot="1" x14ac:dyDescent="0.4">
      <c r="A34" s="344"/>
      <c r="B34" s="343" t="s">
        <v>211</v>
      </c>
      <c r="C34" s="404">
        <f>COUNTIF(C4:C27,"&gt;0")</f>
        <v>17</v>
      </c>
      <c r="D34" s="405">
        <f t="shared" ref="D34:J34" si="16">COUNTIF(D4:D27,"&gt;0")</f>
        <v>15</v>
      </c>
      <c r="E34" s="405">
        <f t="shared" si="16"/>
        <v>13</v>
      </c>
      <c r="F34" s="406">
        <f t="shared" si="16"/>
        <v>16</v>
      </c>
      <c r="G34" s="404">
        <f t="shared" si="16"/>
        <v>18</v>
      </c>
      <c r="H34" s="405">
        <f t="shared" si="16"/>
        <v>15</v>
      </c>
      <c r="I34" s="405">
        <f t="shared" si="16"/>
        <v>13</v>
      </c>
      <c r="J34" s="406">
        <f t="shared" si="16"/>
        <v>18</v>
      </c>
      <c r="K34" s="394"/>
      <c r="L34" s="343" t="s">
        <v>211</v>
      </c>
      <c r="M34" s="404">
        <f>COUNTIF(M4:M27,"&gt;0")</f>
        <v>10</v>
      </c>
      <c r="N34" s="405">
        <f t="shared" ref="N34:T34" si="17">COUNTIF(N4:N27,"&gt;0")</f>
        <v>9</v>
      </c>
      <c r="O34" s="405">
        <f t="shared" si="17"/>
        <v>10</v>
      </c>
      <c r="P34" s="406">
        <f t="shared" si="17"/>
        <v>10</v>
      </c>
      <c r="Q34" s="404">
        <f t="shared" si="17"/>
        <v>7</v>
      </c>
      <c r="R34" s="405">
        <f t="shared" si="17"/>
        <v>7</v>
      </c>
      <c r="S34" s="405">
        <f t="shared" si="17"/>
        <v>7</v>
      </c>
      <c r="T34" s="406">
        <f t="shared" si="17"/>
        <v>7</v>
      </c>
      <c r="U34" s="394"/>
      <c r="V34" s="343" t="s">
        <v>211</v>
      </c>
      <c r="W34" s="404">
        <f>COUNTIF(W4:W27,"&gt;0")</f>
        <v>12</v>
      </c>
      <c r="X34" s="405">
        <f t="shared" ref="X34:AD34" si="18">COUNTIF(X4:X27,"&gt;0")</f>
        <v>12</v>
      </c>
      <c r="Y34" s="405">
        <f t="shared" si="18"/>
        <v>13</v>
      </c>
      <c r="Z34" s="406">
        <f t="shared" si="18"/>
        <v>12</v>
      </c>
      <c r="AA34" s="404">
        <f t="shared" si="18"/>
        <v>8</v>
      </c>
      <c r="AB34" s="405">
        <f t="shared" si="18"/>
        <v>8</v>
      </c>
      <c r="AC34" s="407">
        <f t="shared" si="18"/>
        <v>7</v>
      </c>
      <c r="AD34" s="406">
        <f t="shared" si="18"/>
        <v>8</v>
      </c>
      <c r="AE34" s="394"/>
      <c r="AF34" s="343" t="s">
        <v>211</v>
      </c>
      <c r="AG34" s="404">
        <f>COUNTIF(AG4:AG27,"&gt;0")</f>
        <v>12</v>
      </c>
      <c r="AH34" s="405">
        <f t="shared" ref="AH34:AN34" si="19">COUNTIF(AH4:AH27,"&gt;0")</f>
        <v>13</v>
      </c>
      <c r="AI34" s="405">
        <f t="shared" si="19"/>
        <v>13</v>
      </c>
      <c r="AJ34" s="406">
        <f t="shared" si="19"/>
        <v>12</v>
      </c>
      <c r="AK34" s="404">
        <f t="shared" si="19"/>
        <v>13</v>
      </c>
      <c r="AL34" s="405">
        <f t="shared" si="19"/>
        <v>15</v>
      </c>
      <c r="AM34" s="405">
        <f t="shared" si="19"/>
        <v>15</v>
      </c>
      <c r="AN34" s="406">
        <f t="shared" si="19"/>
        <v>13</v>
      </c>
      <c r="AO34" s="344"/>
      <c r="AP34" s="344"/>
      <c r="AQ34" s="91"/>
      <c r="AR34" s="91"/>
      <c r="AS34" s="91"/>
      <c r="AT34" s="91"/>
      <c r="AU34" s="91"/>
    </row>
    <row r="35" spans="1:47" ht="15" thickBot="1" x14ac:dyDescent="0.4">
      <c r="A35" s="344"/>
      <c r="B35" s="344"/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  <c r="N35" s="344"/>
      <c r="O35" s="344"/>
      <c r="P35" s="344"/>
      <c r="Q35" s="344"/>
      <c r="R35" s="344"/>
      <c r="S35" s="344"/>
      <c r="T35" s="344"/>
      <c r="U35" s="344"/>
      <c r="V35" s="344"/>
      <c r="W35" s="344"/>
      <c r="X35" s="344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4"/>
      <c r="AO35" s="344"/>
      <c r="AP35" s="344"/>
      <c r="AQ35" s="91"/>
      <c r="AR35" s="91"/>
      <c r="AS35" s="91"/>
      <c r="AT35" s="91"/>
      <c r="AU35" s="91"/>
    </row>
    <row r="36" spans="1:47" s="91" customFormat="1" x14ac:dyDescent="0.35">
      <c r="A36" s="343"/>
      <c r="B36" s="343" t="s">
        <v>219</v>
      </c>
      <c r="C36" s="449" t="s">
        <v>220</v>
      </c>
      <c r="D36" s="450" t="s">
        <v>220</v>
      </c>
      <c r="E36" s="450" t="s">
        <v>220</v>
      </c>
      <c r="F36" s="445" t="s">
        <v>107</v>
      </c>
      <c r="G36" s="449" t="s">
        <v>220</v>
      </c>
      <c r="H36" s="450" t="s">
        <v>220</v>
      </c>
      <c r="I36" s="450" t="s">
        <v>220</v>
      </c>
      <c r="J36" s="445" t="s">
        <v>107</v>
      </c>
      <c r="K36" s="343"/>
      <c r="L36" s="343" t="s">
        <v>219</v>
      </c>
      <c r="M36" s="449" t="s">
        <v>220</v>
      </c>
      <c r="N36" s="452" t="s">
        <v>221</v>
      </c>
      <c r="O36" s="452" t="s">
        <v>221</v>
      </c>
      <c r="P36" s="446" t="s">
        <v>107</v>
      </c>
      <c r="Q36" s="451" t="s">
        <v>221</v>
      </c>
      <c r="R36" s="452" t="s">
        <v>221</v>
      </c>
      <c r="S36" s="452" t="s">
        <v>221</v>
      </c>
      <c r="T36" s="446" t="s">
        <v>107</v>
      </c>
      <c r="U36" s="343"/>
      <c r="V36" s="343" t="s">
        <v>219</v>
      </c>
      <c r="W36" s="451" t="s">
        <v>221</v>
      </c>
      <c r="X36" s="452" t="s">
        <v>221</v>
      </c>
      <c r="Y36" s="452" t="s">
        <v>221</v>
      </c>
      <c r="Z36" s="446" t="s">
        <v>107</v>
      </c>
      <c r="AA36" s="449" t="s">
        <v>220</v>
      </c>
      <c r="AB36" s="452" t="s">
        <v>221</v>
      </c>
      <c r="AC36" s="450" t="s">
        <v>220</v>
      </c>
      <c r="AD36" s="446" t="s">
        <v>107</v>
      </c>
      <c r="AE36" s="343"/>
      <c r="AF36" s="343" t="s">
        <v>219</v>
      </c>
      <c r="AG36" s="449" t="s">
        <v>220</v>
      </c>
      <c r="AH36" s="452" t="s">
        <v>221</v>
      </c>
      <c r="AI36" s="452" t="s">
        <v>221</v>
      </c>
      <c r="AJ36" s="446" t="s">
        <v>107</v>
      </c>
      <c r="AK36" s="451" t="s">
        <v>221</v>
      </c>
      <c r="AL36" s="452" t="s">
        <v>221</v>
      </c>
      <c r="AM36" s="452" t="s">
        <v>221</v>
      </c>
      <c r="AN36" s="446" t="s">
        <v>107</v>
      </c>
      <c r="AO36" s="343"/>
      <c r="AP36" s="343"/>
    </row>
    <row r="37" spans="1:47" s="91" customFormat="1" x14ac:dyDescent="0.35">
      <c r="A37" s="343"/>
      <c r="B37" s="343" t="s">
        <v>217</v>
      </c>
      <c r="C37" s="456" cm="1">
        <f t="array" ref="C37">_xlfn.T.TEST(ABS(C4:C27),ABS(F4:F27),2,1)</f>
        <v>0.26041776125316335</v>
      </c>
      <c r="D37" s="453" cm="1">
        <f t="array" ref="D37">_xlfn.T.TEST(ABS(D4:D27),ABS(F4:F27),2,1)</f>
        <v>4.0310826642037022E-2</v>
      </c>
      <c r="E37" s="457" cm="1">
        <f t="array" ref="E37">_xlfn.T.TEST(ABS(E4:E27),ABS(F4:F27),2,1)</f>
        <v>0.13818283413883323</v>
      </c>
      <c r="F37" s="447" t="s">
        <v>107</v>
      </c>
      <c r="G37" s="456" cm="1">
        <f t="array" ref="G37">_xlfn.T.TEST(ABS(G4:G27),ABS(J4:J27),2,1)</f>
        <v>0.14870564177052578</v>
      </c>
      <c r="H37" s="453" cm="1">
        <f t="array" ref="H37">_xlfn.T.TEST(ABS(H4:H27),ABS(J4:J27),2,1)</f>
        <v>1.4576982372575601E-2</v>
      </c>
      <c r="I37" s="457" cm="1">
        <f t="array" ref="I37">_xlfn.T.TEST(ABS(I4:I27),ABS(J4:J27),2,1)</f>
        <v>0.25707774325527477</v>
      </c>
      <c r="J37" s="447" t="s">
        <v>107</v>
      </c>
      <c r="K37" s="343"/>
      <c r="L37" s="343" t="s">
        <v>217</v>
      </c>
      <c r="M37" s="458" cm="1">
        <f t="array" ref="M37">_xlfn.T.TEST(ABS(M4:M27),ABS(P4:P27),2,1)</f>
        <v>0.30582491497578435</v>
      </c>
      <c r="N37" s="457" cm="1">
        <f t="array" ref="N37">_xlfn.T.TEST(ABS(N4:N27),ABS(P4:P27),2,1)</f>
        <v>0.25685828600089489</v>
      </c>
      <c r="O37" s="459" cm="1">
        <f t="array" ref="O37">_xlfn.T.TEST(ABS(O4:O27),ABS(P4:P27),2,1)</f>
        <v>0.78991535489032061</v>
      </c>
      <c r="P37" s="447" t="s">
        <v>107</v>
      </c>
      <c r="Q37" s="454" cm="1">
        <f t="array" ref="Q37">_xlfn.T.TEST(ABS(Q4:Q27),ABS(T4:T27),2,1)</f>
        <v>8.9162289471347467E-2</v>
      </c>
      <c r="R37" s="457" cm="1">
        <f t="array" ref="R37">_xlfn.T.TEST(ABS(R4:R27),ABS(T4:T27),2,1)</f>
        <v>0.12383913622525067</v>
      </c>
      <c r="S37" s="455" cm="1">
        <f t="array" ref="S37">_xlfn.T.TEST(ABS(S4:S27),ABS(T4:T27),2,1)</f>
        <v>9.4298181325869909E-2</v>
      </c>
      <c r="T37" s="447" t="s">
        <v>107</v>
      </c>
      <c r="U37" s="343"/>
      <c r="V37" s="343" t="s">
        <v>217</v>
      </c>
      <c r="W37" s="458" cm="1">
        <f t="array" ref="W37">_xlfn.T.TEST(ABS(W4:W27),ABS(Z4:Z27),2,1)</f>
        <v>0.35860006510215214</v>
      </c>
      <c r="X37" s="459" cm="1">
        <f t="array" ref="X37">_xlfn.T.TEST(ABS(X4:X27),ABS(Z4:Z27),2,1)</f>
        <v>0.44619773057607126</v>
      </c>
      <c r="Y37" s="459" cm="1">
        <f t="array" ref="Y37">_xlfn.T.TEST(ABS(Y4:Y27),ABS(Z4:Z27),2,1)</f>
        <v>0.65406546103623642</v>
      </c>
      <c r="Z37" s="447" t="s">
        <v>107</v>
      </c>
      <c r="AA37" s="454" cm="1">
        <f t="array" ref="AA37">_xlfn.T.TEST(ABS(AA4:AA27),ABS(AD4:AD27),2,1)</f>
        <v>9.438007623794914E-2</v>
      </c>
      <c r="AB37" s="459" cm="1">
        <f t="array" ref="AB37">_xlfn.T.TEST(ABS(AB4:AB27),ABS(AD4:AD27),2,1)</f>
        <v>0.7973571002011004</v>
      </c>
      <c r="AC37" s="455" cm="1">
        <f t="array" ref="AC37">_xlfn.T.TEST(ABS(AC4:AC27),ABS(AD4:AD27),2,1)</f>
        <v>6.3412600037529618E-2</v>
      </c>
      <c r="AD37" s="447" t="s">
        <v>107</v>
      </c>
      <c r="AE37" s="343"/>
      <c r="AF37" s="343" t="s">
        <v>217</v>
      </c>
      <c r="AG37" s="458" cm="1">
        <f t="array" ref="AG37">_xlfn.T.TEST(ABS(AG4:AG27),ABS(AJ4:AJ27),2,1)</f>
        <v>0.7623064774109688</v>
      </c>
      <c r="AH37" s="459" cm="1">
        <f t="array" ref="AH37">_xlfn.T.TEST(ABS(AH4:AH27),ABS(AJ4:AJ27),2,1)</f>
        <v>0.98753919899959663</v>
      </c>
      <c r="AI37" s="457" cm="1">
        <f t="array" ref="AI37">_xlfn.T.TEST(ABS(AI4:AI27),ABS(AJ4:AJ27),2,1)</f>
        <v>0.24193314366505342</v>
      </c>
      <c r="AJ37" s="447" t="s">
        <v>107</v>
      </c>
      <c r="AK37" s="458" cm="1">
        <f t="array" ref="AK37">_xlfn.T.TEST(ABS(AK4:AK27),ABS(AN4:AN27),2,1)</f>
        <v>0.89503968497055952</v>
      </c>
      <c r="AL37" s="459" cm="1">
        <f t="array" ref="AL37">_xlfn.T.TEST(ABS(AL4:AL27),ABS(AN4:AN27),2,1)</f>
        <v>0.38319992756888788</v>
      </c>
      <c r="AM37" s="457" cm="1">
        <f t="array" ref="AM37">_xlfn.T.TEST(ABS(AM4:AM27),ABS(AN4:AN27),2,1)</f>
        <v>0.16110526430707997</v>
      </c>
      <c r="AN37" s="447" t="s">
        <v>107</v>
      </c>
      <c r="AO37" s="343"/>
      <c r="AP37" s="343"/>
    </row>
    <row r="38" spans="1:47" s="91" customFormat="1" ht="15" thickBot="1" x14ac:dyDescent="0.4">
      <c r="B38" s="91" t="s">
        <v>218</v>
      </c>
      <c r="C38" s="462" cm="1">
        <f t="array" ref="C38">SUMPRODUCT((ABS(C4:C27)&lt;ABS(F4:F27))*1)/24</f>
        <v>0.54166666666666663</v>
      </c>
      <c r="D38" s="460" cm="1">
        <f t="array" ref="D38">SUMPRODUCT((ABS(D4:D27)&lt;ABS(F4:F27))*1)/24</f>
        <v>0.66666666666666663</v>
      </c>
      <c r="E38" s="463" cm="1">
        <f t="array" ref="E38">SUMPRODUCT((ABS(E4:E27)&lt;ABS(F4:F27))*1)/24</f>
        <v>0.58333333333333337</v>
      </c>
      <c r="F38" s="448" t="s">
        <v>107</v>
      </c>
      <c r="G38" s="462" cm="1">
        <f t="array" ref="G38">SUMPRODUCT((ABS(G4:G27)&lt;ABS(J4:J27))*1)/24</f>
        <v>0.625</v>
      </c>
      <c r="H38" s="460" cm="1">
        <f t="array" ref="H38">SUMPRODUCT((ABS(H4:H27)&lt;ABS(J4:J27))*1)/24</f>
        <v>0.75</v>
      </c>
      <c r="I38" s="463" cm="1">
        <f t="array" ref="I38">SUMPRODUCT((ABS(I4:I27)&lt;ABS(J4:J27))*1)/24</f>
        <v>0.58333333333333337</v>
      </c>
      <c r="J38" s="448" t="s">
        <v>107</v>
      </c>
      <c r="L38" s="91" t="s">
        <v>218</v>
      </c>
      <c r="M38" s="462" cm="1">
        <f t="array" ref="M38">SUMPRODUCT((ABS(M4:M27)&lt;ABS(P4:P27))*1)/24</f>
        <v>0.54166666666666663</v>
      </c>
      <c r="N38" s="463" cm="1">
        <f t="array" ref="N38">SUMPRODUCT((ABS(N4:N27)&lt;ABS(P4:P27))*1)/24</f>
        <v>0.5</v>
      </c>
      <c r="O38" s="463" cm="1">
        <f t="array" ref="O38">SUMPRODUCT((ABS(O4:O27)&lt;ABS(P4:P27))*1)/24</f>
        <v>0.54166666666666663</v>
      </c>
      <c r="P38" s="448" t="s">
        <v>107</v>
      </c>
      <c r="Q38" s="462" cm="1">
        <f t="array" ref="Q38">SUMPRODUCT((ABS(Q4:Q27)&lt;ABS(T4:T27))*1)/24</f>
        <v>0.54166666666666663</v>
      </c>
      <c r="R38" s="465" cm="1">
        <f t="array" ref="R38">SUMPRODUCT((ABS(R4:R27)&lt;ABS(T4:T27))*1)/24</f>
        <v>0.29166666666666669</v>
      </c>
      <c r="S38" s="465" cm="1">
        <f t="array" ref="S38">SUMPRODUCT((ABS(S4:S27)&lt;ABS(T4:T27))*1)/24</f>
        <v>0.41666666666666669</v>
      </c>
      <c r="T38" s="448" t="s">
        <v>107</v>
      </c>
      <c r="V38" s="91" t="s">
        <v>218</v>
      </c>
      <c r="W38" s="464" cm="1">
        <f t="array" ref="W38">SUMPRODUCT((ABS(W4:W27)&lt;ABS(Z4:Z27))*1)/24</f>
        <v>0.45833333333333331</v>
      </c>
      <c r="X38" s="465" cm="1">
        <f t="array" ref="X38">SUMPRODUCT((ABS(X4:X27)&lt;ABS(Z4:Z27))*1)/24</f>
        <v>0.45833333333333331</v>
      </c>
      <c r="Y38" s="463" cm="1">
        <f t="array" ref="Y38">SUMPRODUCT((ABS(Y4:Y27)&lt;ABS(Z4:Z27))*1)/24</f>
        <v>0.54166666666666663</v>
      </c>
      <c r="Z38" s="448" t="s">
        <v>107</v>
      </c>
      <c r="AA38" s="461" cm="1">
        <f t="array" ref="AA38">SUMPRODUCT((ABS(AA4:AA27)&lt;ABS(AD4:AD27))*1)/24</f>
        <v>0.70833333333333337</v>
      </c>
      <c r="AB38" s="463" cm="1">
        <f t="array" ref="AB38">SUMPRODUCT((ABS(AB4:AB27)&lt;ABS(AD4:AD27))*1)/24</f>
        <v>0.5</v>
      </c>
      <c r="AC38" s="460" cm="1">
        <f t="array" ref="AC38">SUMPRODUCT((ABS(AC4:AC27)&lt;ABS(AD4:AD27))*1)/24</f>
        <v>0.66666666666666663</v>
      </c>
      <c r="AD38" s="448" t="s">
        <v>107</v>
      </c>
      <c r="AF38" s="91" t="s">
        <v>218</v>
      </c>
      <c r="AG38" s="464" cm="1">
        <f t="array" ref="AG38">SUMPRODUCT((ABS(AG4:AG27)&lt;ABS(AJ4:AJ27))*1)/24</f>
        <v>0.20833333333333334</v>
      </c>
      <c r="AH38" s="463" cm="1">
        <f t="array" ref="AH38">SUMPRODUCT((ABS(AH4:AH27)&lt;ABS(AJ4:AJ27))*1)/24</f>
        <v>0.5</v>
      </c>
      <c r="AI38" s="465" cm="1">
        <f t="array" ref="AI38">SUMPRODUCT((ABS(AI4:AI27)&lt;ABS(AJ4:AJ27))*1)/24</f>
        <v>0.33333333333333331</v>
      </c>
      <c r="AJ38" s="448" t="s">
        <v>107</v>
      </c>
      <c r="AK38" s="464" cm="1">
        <f t="array" ref="AK38">SUMPRODUCT((ABS(AK4:AK27)&lt;ABS(AN4:AN27))*1)/24</f>
        <v>0.20833333333333334</v>
      </c>
      <c r="AL38" s="465" cm="1">
        <f t="array" ref="AL38">SUMPRODUCT((ABS(AL4:AL27)&lt;ABS(AN4:AN27))*1)/24</f>
        <v>0.375</v>
      </c>
      <c r="AM38" s="465" cm="1">
        <f t="array" ref="AM38">SUMPRODUCT((ABS(AM4:AM27)&lt;ABS(AN4:AN27))*1)/24</f>
        <v>0.41666666666666669</v>
      </c>
      <c r="AN38" s="448" t="s">
        <v>107</v>
      </c>
    </row>
    <row r="39" spans="1:47" x14ac:dyDescent="0.35">
      <c r="B39" s="371"/>
      <c r="C39" s="444"/>
      <c r="D39" s="444"/>
      <c r="E39" s="444"/>
      <c r="F39" s="444"/>
      <c r="G39" s="444"/>
      <c r="H39" s="444"/>
      <c r="I39" s="444"/>
      <c r="J39" s="444"/>
      <c r="K39" s="371"/>
      <c r="L39" s="371"/>
      <c r="M39" s="444"/>
      <c r="N39" s="444"/>
      <c r="O39" s="444"/>
      <c r="P39" s="444"/>
      <c r="Q39" s="444"/>
      <c r="R39" s="444"/>
      <c r="S39" s="444"/>
      <c r="T39" s="444"/>
      <c r="V39" s="371"/>
      <c r="W39" s="444"/>
      <c r="X39" s="444"/>
      <c r="Y39" s="444"/>
      <c r="Z39" s="444"/>
      <c r="AA39" s="444"/>
      <c r="AB39" s="444"/>
      <c r="AC39" s="444"/>
      <c r="AD39" s="444"/>
      <c r="AF39" s="371"/>
      <c r="AG39" s="444"/>
      <c r="AH39" s="444"/>
      <c r="AI39" s="444"/>
      <c r="AJ39" s="444"/>
      <c r="AK39" s="444"/>
      <c r="AL39" s="444"/>
      <c r="AM39" s="444"/>
      <c r="AN39" s="444"/>
    </row>
    <row r="41" spans="1:47" x14ac:dyDescent="0.35">
      <c r="B41" s="91" t="s">
        <v>45</v>
      </c>
      <c r="C41" s="91" t="s">
        <v>35</v>
      </c>
      <c r="D41" s="91" t="s">
        <v>36</v>
      </c>
      <c r="E41" s="91" t="s">
        <v>38</v>
      </c>
      <c r="F41" s="91" t="s">
        <v>39</v>
      </c>
      <c r="L41" s="91" t="s">
        <v>44</v>
      </c>
      <c r="M41" s="91" t="s">
        <v>35</v>
      </c>
      <c r="N41" s="91" t="s">
        <v>36</v>
      </c>
      <c r="O41" s="91" t="s">
        <v>38</v>
      </c>
      <c r="P41" s="91" t="s">
        <v>39</v>
      </c>
      <c r="V41" s="91" t="s">
        <v>216</v>
      </c>
      <c r="W41" s="91" t="s">
        <v>35</v>
      </c>
      <c r="X41" s="91" t="s">
        <v>36</v>
      </c>
      <c r="Y41" s="91" t="s">
        <v>38</v>
      </c>
      <c r="Z41" s="91" t="s">
        <v>39</v>
      </c>
    </row>
    <row r="42" spans="1:47" x14ac:dyDescent="0.35">
      <c r="B42" s="91" t="s">
        <v>117</v>
      </c>
      <c r="C42" s="226">
        <v>0.15</v>
      </c>
      <c r="D42" s="226"/>
      <c r="E42" s="226"/>
      <c r="F42" s="226"/>
      <c r="L42" s="91" t="s">
        <v>117</v>
      </c>
      <c r="M42" s="226">
        <v>1.0222612002063356</v>
      </c>
      <c r="N42" s="91"/>
      <c r="O42" s="91"/>
      <c r="P42" s="91"/>
      <c r="V42" s="91" t="s">
        <v>117</v>
      </c>
      <c r="W42" s="226">
        <v>97.2834</v>
      </c>
      <c r="X42" s="91"/>
      <c r="Y42" s="91"/>
      <c r="Z42" s="91"/>
      <c r="AN42" s="393"/>
    </row>
    <row r="43" spans="1:47" x14ac:dyDescent="0.35">
      <c r="B43" s="91" t="s">
        <v>117</v>
      </c>
      <c r="C43" s="226"/>
      <c r="D43" s="226">
        <v>4.65E-2</v>
      </c>
      <c r="E43" s="226">
        <v>3.3399999999999999E-2</v>
      </c>
      <c r="F43" s="226">
        <v>1.5699999999999999E-2</v>
      </c>
      <c r="L43" s="91" t="s">
        <v>117</v>
      </c>
      <c r="M43" s="91"/>
      <c r="N43" s="226">
        <v>0.13022043210984902</v>
      </c>
      <c r="O43" s="226">
        <v>0.11816733279572549</v>
      </c>
      <c r="P43" s="226">
        <v>5.4851630482665011E-2</v>
      </c>
      <c r="V43" s="91" t="s">
        <v>117</v>
      </c>
      <c r="W43" s="91"/>
      <c r="X43" s="226">
        <v>0.40039999999999998</v>
      </c>
      <c r="Y43" s="226">
        <v>0.42149999999999999</v>
      </c>
      <c r="Z43" s="226">
        <v>2.0199999999999999E-2</v>
      </c>
    </row>
    <row r="44" spans="1:47" x14ac:dyDescent="0.35">
      <c r="B44" s="91" t="s">
        <v>179</v>
      </c>
      <c r="C44" s="227">
        <v>0.15170884130970821</v>
      </c>
      <c r="D44" s="227"/>
      <c r="E44" s="227"/>
      <c r="F44" s="227"/>
      <c r="L44" s="91" t="s">
        <v>180</v>
      </c>
      <c r="M44" s="228">
        <v>1.030005631985802</v>
      </c>
      <c r="N44" s="91"/>
      <c r="O44" s="91"/>
      <c r="P44" s="91"/>
      <c r="V44" s="91" t="s">
        <v>180</v>
      </c>
      <c r="W44" s="228">
        <v>97.491</v>
      </c>
      <c r="X44" s="91"/>
      <c r="Y44" s="91"/>
      <c r="Z44" s="91"/>
    </row>
    <row r="45" spans="1:47" x14ac:dyDescent="0.35">
      <c r="B45" s="91" t="s">
        <v>179</v>
      </c>
      <c r="C45" s="227"/>
      <c r="D45" s="227">
        <v>4.6677573459635878E-2</v>
      </c>
      <c r="E45" s="227">
        <v>3.343376420297605E-2</v>
      </c>
      <c r="F45" s="227">
        <v>1.5679260351739922E-2</v>
      </c>
      <c r="L45" s="91" t="s">
        <v>180</v>
      </c>
      <c r="M45" s="91"/>
      <c r="N45" s="228">
        <v>0.1301122092205223</v>
      </c>
      <c r="O45" s="228">
        <v>0.11818648800486893</v>
      </c>
      <c r="P45" s="228">
        <v>5.4849916493526697E-2</v>
      </c>
      <c r="V45" s="91" t="s">
        <v>180</v>
      </c>
      <c r="W45" s="91"/>
      <c r="X45" s="228">
        <v>0.40029999999999999</v>
      </c>
      <c r="Y45" s="228">
        <v>0.42149999999999999</v>
      </c>
      <c r="Z45" s="228">
        <v>0.02</v>
      </c>
    </row>
    <row r="46" spans="1:47" x14ac:dyDescent="0.35">
      <c r="B46" s="91" t="s">
        <v>124</v>
      </c>
      <c r="C46" s="228">
        <v>0.13992101242401314</v>
      </c>
      <c r="D46" s="228"/>
      <c r="E46" s="228"/>
      <c r="F46" s="228"/>
      <c r="L46" s="91" t="s">
        <v>124</v>
      </c>
      <c r="M46" s="414">
        <v>0.78659999999999997</v>
      </c>
      <c r="N46" s="415"/>
      <c r="O46" s="415"/>
      <c r="P46" s="415"/>
      <c r="V46" s="91" t="s">
        <v>124</v>
      </c>
      <c r="W46" s="414">
        <v>26.577400000000001</v>
      </c>
      <c r="X46" s="415"/>
      <c r="Y46" s="415"/>
      <c r="Z46" s="415"/>
    </row>
    <row r="47" spans="1:47" x14ac:dyDescent="0.35">
      <c r="B47" s="91" t="s">
        <v>124</v>
      </c>
      <c r="C47" s="228"/>
      <c r="D47" s="228">
        <v>4.6815342761204144E-2</v>
      </c>
      <c r="E47" s="228">
        <v>3.3684124859575469E-2</v>
      </c>
      <c r="F47" s="228">
        <v>1.5684043596424616E-2</v>
      </c>
      <c r="L47" s="91" t="s">
        <v>124</v>
      </c>
      <c r="M47" s="415"/>
      <c r="N47" s="414">
        <v>0.13106220860414822</v>
      </c>
      <c r="O47" s="414">
        <v>0.11846856750952502</v>
      </c>
      <c r="P47" s="414">
        <v>5.6554423548711229E-2</v>
      </c>
      <c r="V47" s="91" t="s">
        <v>124</v>
      </c>
      <c r="W47" s="415"/>
      <c r="X47" s="414">
        <v>0.42520000000000002</v>
      </c>
      <c r="Y47" s="414">
        <v>0.42030000000000001</v>
      </c>
      <c r="Z47" s="414">
        <v>2.8899999999999999E-2</v>
      </c>
    </row>
    <row r="48" spans="1:47" x14ac:dyDescent="0.35">
      <c r="B48" s="91" t="s">
        <v>125</v>
      </c>
      <c r="C48" s="228">
        <v>0.1177</v>
      </c>
      <c r="D48" s="228"/>
      <c r="E48" s="228"/>
      <c r="F48" s="228"/>
      <c r="L48" s="91" t="s">
        <v>125</v>
      </c>
      <c r="M48" s="228">
        <v>0.86670000000000003</v>
      </c>
      <c r="N48" s="228"/>
      <c r="O48" s="371"/>
      <c r="P48" s="371"/>
      <c r="V48" s="91" t="s">
        <v>125</v>
      </c>
      <c r="W48" s="228">
        <v>0.53469999999999995</v>
      </c>
      <c r="X48" s="228"/>
      <c r="Y48" s="371"/>
      <c r="Z48" s="371"/>
    </row>
    <row r="49" spans="2:26" x14ac:dyDescent="0.35">
      <c r="B49" s="91" t="s">
        <v>125</v>
      </c>
      <c r="C49" s="228"/>
      <c r="D49" s="228">
        <v>4.6899999999999997E-2</v>
      </c>
      <c r="E49" s="228">
        <v>3.4000000000000002E-2</v>
      </c>
      <c r="F49" s="228">
        <v>1.6199999999999999E-2</v>
      </c>
      <c r="L49" s="91" t="s">
        <v>125</v>
      </c>
      <c r="M49" s="228"/>
      <c r="N49" s="228">
        <v>0.1371</v>
      </c>
      <c r="O49" s="414">
        <v>0.1037</v>
      </c>
      <c r="P49" s="414">
        <v>5.7700000000000001E-2</v>
      </c>
      <c r="V49" s="91" t="s">
        <v>125</v>
      </c>
      <c r="W49" s="228"/>
      <c r="X49" s="228">
        <v>0.51559999999999995</v>
      </c>
      <c r="Y49" s="414">
        <v>0.32140000000000002</v>
      </c>
      <c r="Z49" s="414">
        <v>4.2099999999999999E-2</v>
      </c>
    </row>
  </sheetData>
  <mergeCells count="61">
    <mergeCell ref="AO12:AP17"/>
    <mergeCell ref="AO18:AP21"/>
    <mergeCell ref="U7:V10"/>
    <mergeCell ref="U16:V19"/>
    <mergeCell ref="U12:V15"/>
    <mergeCell ref="U20:V23"/>
    <mergeCell ref="AO22:AP27"/>
    <mergeCell ref="U24:V27"/>
    <mergeCell ref="AE12:AF15"/>
    <mergeCell ref="AE16:AF19"/>
    <mergeCell ref="AE20:AF27"/>
    <mergeCell ref="AE4:AF7"/>
    <mergeCell ref="U11:V11"/>
    <mergeCell ref="U4:V4"/>
    <mergeCell ref="U5:V5"/>
    <mergeCell ref="U6:V6"/>
    <mergeCell ref="K22:L27"/>
    <mergeCell ref="A24:A27"/>
    <mergeCell ref="C1:L1"/>
    <mergeCell ref="M1:V1"/>
    <mergeCell ref="W1:AF1"/>
    <mergeCell ref="A4:A7"/>
    <mergeCell ref="A8:A11"/>
    <mergeCell ref="A12:A15"/>
    <mergeCell ref="A16:A19"/>
    <mergeCell ref="K4:L5"/>
    <mergeCell ref="A20:A23"/>
    <mergeCell ref="K11:L15"/>
    <mergeCell ref="K16:L17"/>
    <mergeCell ref="K19:L20"/>
    <mergeCell ref="AE8:AF11"/>
    <mergeCell ref="K21:L21"/>
    <mergeCell ref="C2:F2"/>
    <mergeCell ref="G2:J2"/>
    <mergeCell ref="K2:L3"/>
    <mergeCell ref="A3:B3"/>
    <mergeCell ref="M2:P2"/>
    <mergeCell ref="AQ1:BG1"/>
    <mergeCell ref="K18:L18"/>
    <mergeCell ref="K6:L6"/>
    <mergeCell ref="K9:L9"/>
    <mergeCell ref="K10:L10"/>
    <mergeCell ref="K7:L8"/>
    <mergeCell ref="AG1:AP1"/>
    <mergeCell ref="Q2:T2"/>
    <mergeCell ref="U2:V3"/>
    <mergeCell ref="W2:Z2"/>
    <mergeCell ref="AA2:AD2"/>
    <mergeCell ref="AE2:AF3"/>
    <mergeCell ref="AG2:AJ2"/>
    <mergeCell ref="AK2:AN2"/>
    <mergeCell ref="AO2:AP3"/>
    <mergeCell ref="AO4:AP11"/>
    <mergeCell ref="AR4:AU4"/>
    <mergeCell ref="BD4:BG4"/>
    <mergeCell ref="AZ4:BC4"/>
    <mergeCell ref="AV4:AY4"/>
    <mergeCell ref="AR2:AU2"/>
    <mergeCell ref="AV2:AY2"/>
    <mergeCell ref="AZ2:BC2"/>
    <mergeCell ref="BD2:BG2"/>
  </mergeCells>
  <conditionalFormatting sqref="C4:F27">
    <cfRule type="expression" dxfId="47" priority="712" stopIfTrue="1">
      <formula>ABS(C4)=MAX(ABS($C4:$F4))</formula>
    </cfRule>
    <cfRule type="expression" dxfId="46" priority="713" stopIfTrue="1">
      <formula>ABS(C4)=MIN(ABS($C4:$F4))</formula>
    </cfRule>
    <cfRule type="expression" dxfId="45" priority="714" stopIfTrue="1">
      <formula>ABS(C4)=LARGE(ABS($C4:$F4),2)</formula>
    </cfRule>
  </conditionalFormatting>
  <conditionalFormatting sqref="C29:F34">
    <cfRule type="expression" dxfId="44" priority="22" stopIfTrue="1">
      <formula>ABS(C29)=MAX(ABS($C29:$F29))</formula>
    </cfRule>
    <cfRule type="expression" dxfId="43" priority="23" stopIfTrue="1">
      <formula>ABS(C29)=MIN(ABS($C29:$F29))</formula>
    </cfRule>
    <cfRule type="expression" dxfId="42" priority="24" stopIfTrue="1">
      <formula>ABS(C29)=LARGE(ABS($C29:$F29),2)</formula>
    </cfRule>
  </conditionalFormatting>
  <conditionalFormatting sqref="G4:J27">
    <cfRule type="expression" dxfId="41" priority="643">
      <formula>ABS(G4)=MAX(ABS($G4:$J4))</formula>
    </cfRule>
    <cfRule type="expression" dxfId="40" priority="644">
      <formula>ABS(G4)=MIN(ABS($G4:$J4))</formula>
    </cfRule>
    <cfRule type="expression" dxfId="39" priority="645">
      <formula>ABS(G4)=LARGE(ABS($G4:$J4),2)</formula>
    </cfRule>
  </conditionalFormatting>
  <conditionalFormatting sqref="G29:J34">
    <cfRule type="expression" dxfId="38" priority="19">
      <formula>ABS(G29)=MAX(ABS($G29:$J29))</formula>
    </cfRule>
    <cfRule type="expression" dxfId="37" priority="20">
      <formula>ABS(G29)=MIN(ABS($G29:$J29))</formula>
    </cfRule>
    <cfRule type="expression" dxfId="36" priority="21">
      <formula>ABS(G29)=LARGE(ABS($G29:$J29),2)</formula>
    </cfRule>
  </conditionalFormatting>
  <conditionalFormatting sqref="M4:P27">
    <cfRule type="expression" dxfId="35" priority="574">
      <formula>ABS(M4)=MAX(ABS($M4:$P4))</formula>
    </cfRule>
    <cfRule type="expression" dxfId="34" priority="575">
      <formula>ABS(M4)=MIN(ABS($M4:$P4))</formula>
    </cfRule>
    <cfRule type="expression" dxfId="33" priority="576">
      <formula>ABS(M4)=LARGE(ABS($M4:$P4),2)</formula>
    </cfRule>
  </conditionalFormatting>
  <conditionalFormatting sqref="M29:P34">
    <cfRule type="expression" dxfId="32" priority="16">
      <formula>ABS(M29)=MAX(ABS($M29:$P29))</formula>
    </cfRule>
    <cfRule type="expression" dxfId="31" priority="17">
      <formula>ABS(M29)=MIN(ABS($M29:$P29))</formula>
    </cfRule>
    <cfRule type="expression" dxfId="30" priority="18">
      <formula>ABS(M29)=LARGE(ABS($M29:$P29),2)</formula>
    </cfRule>
  </conditionalFormatting>
  <conditionalFormatting sqref="Q4:T27">
    <cfRule type="expression" dxfId="29" priority="505">
      <formula>ABS(Q4)=MAX(ABS($Q4:$T4))</formula>
    </cfRule>
    <cfRule type="expression" dxfId="28" priority="506">
      <formula>ABS(Q4)=MIN(ABS($Q4:$T4))</formula>
    </cfRule>
    <cfRule type="expression" dxfId="27" priority="507">
      <formula>ABS(Q4)=LARGE(ABS($Q4:$T4),2)</formula>
    </cfRule>
  </conditionalFormatting>
  <conditionalFormatting sqref="Q29:T34">
    <cfRule type="expression" dxfId="26" priority="13">
      <formula>ABS(Q29)=MAX(ABS($Q29:$T29))</formula>
    </cfRule>
    <cfRule type="expression" dxfId="25" priority="14">
      <formula>ABS(Q29)=MIN(ABS($Q29:$T29))</formula>
    </cfRule>
    <cfRule type="expression" dxfId="24" priority="15">
      <formula>ABS(Q29)=LARGE(ABS($Q29:$T29),2)</formula>
    </cfRule>
  </conditionalFormatting>
  <conditionalFormatting sqref="W4:Z27">
    <cfRule type="expression" dxfId="23" priority="436">
      <formula>ABS(W4)=MAX(ABS($W4:$Z4))</formula>
    </cfRule>
    <cfRule type="expression" dxfId="22" priority="437">
      <formula>ABS(W4)=MIN(ABS($W4:$Z4))</formula>
    </cfRule>
    <cfRule type="expression" dxfId="21" priority="438">
      <formula>ABS(W4)=LARGE(ABS($W4:$Z4),2)</formula>
    </cfRule>
  </conditionalFormatting>
  <conditionalFormatting sqref="W29:Z34">
    <cfRule type="expression" dxfId="20" priority="10">
      <formula>ABS(W29)=MAX(ABS($W29:$Z29))</formula>
    </cfRule>
    <cfRule type="expression" dxfId="19" priority="11">
      <formula>ABS(W29)=MIN(ABS($W29:$Z29))</formula>
    </cfRule>
    <cfRule type="expression" dxfId="18" priority="12">
      <formula>ABS(W29)=LARGE(ABS($W29:$Z29),2)</formula>
    </cfRule>
  </conditionalFormatting>
  <conditionalFormatting sqref="AA4:AD27">
    <cfRule type="expression" dxfId="17" priority="145">
      <formula>ABS(AA4)=MAX(ABS($AA4:$AD4))</formula>
    </cfRule>
    <cfRule type="expression" dxfId="16" priority="146">
      <formula>ABS(AA4)=MIN(ABS($AA4:$ADP4))</formula>
    </cfRule>
    <cfRule type="expression" dxfId="15" priority="147">
      <formula>ABS(AA4)=LARGE(ABS($AA4:$AD4),2)</formula>
    </cfRule>
  </conditionalFormatting>
  <conditionalFormatting sqref="AA29:AD34">
    <cfRule type="expression" dxfId="14" priority="7">
      <formula>ABS(AA29)=MAX(ABS($AA29:$AD29))</formula>
    </cfRule>
    <cfRule type="expression" dxfId="13" priority="8">
      <formula>ABS(AA29)=MIN(ABS($AA29:$ADP29))</formula>
    </cfRule>
    <cfRule type="expression" dxfId="12" priority="9">
      <formula>ABS(AA29)=LARGE(ABS($AA29:$AD29),2)</formula>
    </cfRule>
  </conditionalFormatting>
  <conditionalFormatting sqref="AG4:AJ27">
    <cfRule type="expression" dxfId="11" priority="286">
      <formula>ABS(AG4)=MAX(ABS($AG4:$AJ4))</formula>
    </cfRule>
    <cfRule type="expression" dxfId="10" priority="287">
      <formula>ABS(AG4)=MIN(ABS($AG4:$AJ4))</formula>
    </cfRule>
    <cfRule type="expression" dxfId="9" priority="288">
      <formula>ABS(AG4)=LARGE(ABS($AG4:$AJ4),2)</formula>
    </cfRule>
  </conditionalFormatting>
  <conditionalFormatting sqref="AG29:AJ34">
    <cfRule type="expression" dxfId="8" priority="4">
      <formula>ABS(AG29)=MAX(ABS($AG29:$AJ29))</formula>
    </cfRule>
    <cfRule type="expression" dxfId="7" priority="5">
      <formula>ABS(AG29)=MIN(ABS($AG29:$AJ29))</formula>
    </cfRule>
    <cfRule type="expression" dxfId="6" priority="6">
      <formula>ABS(AG29)=LARGE(ABS($AG29:$AJ29),2)</formula>
    </cfRule>
  </conditionalFormatting>
  <conditionalFormatting sqref="AK4:AN27">
    <cfRule type="expression" dxfId="5" priority="217">
      <formula>ABS(AK4)=MAX(ABS($AK4:$AN4))</formula>
    </cfRule>
    <cfRule type="expression" dxfId="4" priority="218">
      <formula>ABS(AK4)=MIN(ABS($AK4:$AN4))</formula>
    </cfRule>
    <cfRule type="expression" dxfId="3" priority="219">
      <formula>ABS(AK4)=LARGE(ABS($AK4:$AN4),2)</formula>
    </cfRule>
  </conditionalFormatting>
  <conditionalFormatting sqref="AK29:AN34">
    <cfRule type="expression" dxfId="2" priority="1">
      <formula>ABS(AK29)=MAX(ABS($AK29:$AN29))</formula>
    </cfRule>
    <cfRule type="expression" dxfId="1" priority="2">
      <formula>ABS(AK29)=MIN(ABS($AK29:$AN29))</formula>
    </cfRule>
    <cfRule type="expression" dxfId="0" priority="3">
      <formula>ABS(AK29)=LARGE(ABS($AK29:$AN29),2)</formula>
    </cfRule>
  </conditionalFormatting>
  <pageMargins left="0.7" right="0.7" top="0.75" bottom="0.75" header="0.3" footer="0.3"/>
  <pageSetup paperSize="9" orientation="portrait" r:id="rId1"/>
  <ignoredErrors>
    <ignoredError sqref="AT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35FA-B078-4BD2-9CF5-8622C05475EF}">
  <sheetPr>
    <tabColor rgb="FFFF0000"/>
  </sheetPr>
  <dimension ref="A1:AM35"/>
  <sheetViews>
    <sheetView topLeftCell="U16" zoomScale="56" workbookViewId="0">
      <selection activeCell="AN20" sqref="AN20"/>
    </sheetView>
  </sheetViews>
  <sheetFormatPr defaultRowHeight="14.5" x14ac:dyDescent="0.35"/>
  <cols>
    <col min="1" max="1" width="8.81640625" bestFit="1" customWidth="1"/>
    <col min="2" max="2" width="11.81640625" customWidth="1"/>
    <col min="3" max="3" width="9.26953125" bestFit="1" customWidth="1"/>
    <col min="4" max="4" width="10.7265625" customWidth="1"/>
    <col min="5" max="5" width="10.36328125" customWidth="1"/>
    <col min="6" max="6" width="8.81640625" bestFit="1" customWidth="1"/>
    <col min="7" max="7" width="8.90625" bestFit="1" customWidth="1"/>
    <col min="8" max="8" width="11.1796875" bestFit="1" customWidth="1"/>
    <col min="10" max="10" width="8.90625" bestFit="1" customWidth="1"/>
    <col min="11" max="11" width="11.1796875" bestFit="1" customWidth="1"/>
    <col min="13" max="13" width="8.90625" bestFit="1" customWidth="1"/>
    <col min="14" max="14" width="11.1796875" bestFit="1" customWidth="1"/>
    <col min="15" max="15" width="8.90625" bestFit="1" customWidth="1"/>
    <col min="16" max="16" width="13.26953125" customWidth="1"/>
    <col min="17" max="17" width="11.26953125" customWidth="1"/>
    <col min="18" max="18" width="9.26953125" bestFit="1" customWidth="1"/>
    <col min="19" max="19" width="9.81640625" bestFit="1" customWidth="1"/>
    <col min="20" max="20" width="12" customWidth="1"/>
    <col min="21" max="21" width="11.26953125" customWidth="1"/>
    <col min="23" max="23" width="8.81640625" bestFit="1" customWidth="1"/>
    <col min="24" max="24" width="12.26953125" customWidth="1"/>
    <col min="25" max="25" width="11.81640625" customWidth="1"/>
    <col min="27" max="27" width="8.81640625" bestFit="1" customWidth="1"/>
    <col min="28" max="28" width="11.90625" customWidth="1"/>
    <col min="29" max="29" width="11.6328125" customWidth="1"/>
    <col min="31" max="31" width="8.81640625" bestFit="1" customWidth="1"/>
    <col min="32" max="32" width="9.81640625" bestFit="1" customWidth="1"/>
    <col min="34" max="34" width="16" customWidth="1"/>
    <col min="35" max="35" width="13.6328125" customWidth="1"/>
    <col min="36" max="36" width="12.54296875" customWidth="1"/>
    <col min="37" max="37" width="12.90625" customWidth="1"/>
    <col min="38" max="38" width="12.6328125" customWidth="1"/>
  </cols>
  <sheetData>
    <row r="1" spans="1:39" ht="15" thickBot="1" x14ac:dyDescent="0.4">
      <c r="A1" s="491" t="s">
        <v>85</v>
      </c>
      <c r="B1" s="492"/>
      <c r="C1" s="550" t="s">
        <v>35</v>
      </c>
      <c r="D1" s="550"/>
      <c r="E1" s="551"/>
      <c r="F1" s="471" t="s">
        <v>36</v>
      </c>
      <c r="G1" s="471"/>
      <c r="H1" s="472"/>
      <c r="I1" s="475" t="s">
        <v>38</v>
      </c>
      <c r="J1" s="475"/>
      <c r="K1" s="476"/>
      <c r="L1" s="479" t="s">
        <v>39</v>
      </c>
      <c r="M1" s="479"/>
      <c r="N1" s="480"/>
      <c r="O1" s="491" t="s">
        <v>86</v>
      </c>
      <c r="P1" s="492"/>
      <c r="Q1" s="548" t="s">
        <v>35</v>
      </c>
      <c r="R1" s="550"/>
      <c r="S1" s="550"/>
      <c r="T1" s="551"/>
      <c r="U1" s="469" t="s">
        <v>36</v>
      </c>
      <c r="V1" s="471"/>
      <c r="W1" s="471"/>
      <c r="X1" s="472"/>
      <c r="Y1" s="473" t="s">
        <v>38</v>
      </c>
      <c r="Z1" s="475"/>
      <c r="AA1" s="475"/>
      <c r="AB1" s="476"/>
      <c r="AC1" s="477" t="s">
        <v>39</v>
      </c>
      <c r="AD1" s="479"/>
      <c r="AE1" s="479"/>
      <c r="AF1" s="480"/>
    </row>
    <row r="2" spans="1:39" ht="15" thickBot="1" x14ac:dyDescent="0.4">
      <c r="A2" s="481" t="s">
        <v>54</v>
      </c>
      <c r="B2" s="482"/>
      <c r="C2" s="93" t="s">
        <v>1</v>
      </c>
      <c r="D2" s="94" t="s">
        <v>8</v>
      </c>
      <c r="E2" s="95" t="s">
        <v>10</v>
      </c>
      <c r="F2" s="97" t="s">
        <v>1</v>
      </c>
      <c r="G2" s="96" t="s">
        <v>8</v>
      </c>
      <c r="H2" s="97" t="s">
        <v>10</v>
      </c>
      <c r="I2" s="99" t="s">
        <v>1</v>
      </c>
      <c r="J2" s="98" t="s">
        <v>8</v>
      </c>
      <c r="K2" s="99" t="s">
        <v>10</v>
      </c>
      <c r="L2" s="101" t="s">
        <v>1</v>
      </c>
      <c r="M2" s="100" t="s">
        <v>8</v>
      </c>
      <c r="N2" s="101" t="s">
        <v>10</v>
      </c>
      <c r="O2" s="481" t="s">
        <v>54</v>
      </c>
      <c r="P2" s="482"/>
      <c r="Q2" s="92" t="s">
        <v>87</v>
      </c>
      <c r="R2" s="93" t="s">
        <v>1</v>
      </c>
      <c r="S2" s="94" t="s">
        <v>8</v>
      </c>
      <c r="T2" s="95" t="s">
        <v>10</v>
      </c>
      <c r="U2" s="96" t="s">
        <v>87</v>
      </c>
      <c r="V2" s="97" t="s">
        <v>1</v>
      </c>
      <c r="W2" s="96" t="s">
        <v>8</v>
      </c>
      <c r="X2" s="97" t="s">
        <v>10</v>
      </c>
      <c r="Y2" s="98" t="s">
        <v>87</v>
      </c>
      <c r="Z2" s="99" t="s">
        <v>1</v>
      </c>
      <c r="AA2" s="98" t="s">
        <v>8</v>
      </c>
      <c r="AB2" s="99" t="s">
        <v>10</v>
      </c>
      <c r="AC2" s="100" t="s">
        <v>87</v>
      </c>
      <c r="AD2" s="101" t="s">
        <v>1</v>
      </c>
      <c r="AE2" s="100" t="s">
        <v>8</v>
      </c>
      <c r="AF2" s="101" t="s">
        <v>10</v>
      </c>
      <c r="AH2" s="507" t="s">
        <v>114</v>
      </c>
      <c r="AI2" s="508"/>
      <c r="AJ2" s="508"/>
      <c r="AK2" s="508"/>
      <c r="AL2" s="509"/>
    </row>
    <row r="3" spans="1:39" ht="14.5" customHeight="1" thickBot="1" x14ac:dyDescent="0.4">
      <c r="A3" s="545">
        <v>2020</v>
      </c>
      <c r="B3" s="168" t="s">
        <v>55</v>
      </c>
      <c r="C3" s="102">
        <v>9470.8799999999992</v>
      </c>
      <c r="D3" s="103">
        <v>6638.5</v>
      </c>
      <c r="E3" s="120">
        <f>(C3-D3)/D3</f>
        <v>0.42665963696618198</v>
      </c>
      <c r="F3" s="108">
        <v>2963.31</v>
      </c>
      <c r="G3" s="109">
        <v>2470.5</v>
      </c>
      <c r="H3" s="123">
        <f>(F3-G3)/G3</f>
        <v>0.19947783849423192</v>
      </c>
      <c r="I3" s="114">
        <v>1578.38</v>
      </c>
      <c r="J3" s="115">
        <v>1584.1</v>
      </c>
      <c r="K3" s="126">
        <f>(I3-J3)/J3</f>
        <v>-3.6108831513160787E-3</v>
      </c>
      <c r="L3" s="132">
        <v>1.1028</v>
      </c>
      <c r="M3" s="133">
        <v>1.0962000000000001</v>
      </c>
      <c r="N3" s="129">
        <f>(L3-M3)/M3</f>
        <v>6.0207991242473445E-3</v>
      </c>
      <c r="O3" s="545">
        <v>2020</v>
      </c>
      <c r="P3" s="168" t="s">
        <v>55</v>
      </c>
      <c r="Q3" s="210" t="s">
        <v>109</v>
      </c>
      <c r="R3" s="102">
        <v>9694.51</v>
      </c>
      <c r="S3" s="103">
        <v>6638.5</v>
      </c>
      <c r="T3" s="120">
        <f>(R3-S3)/S3</f>
        <v>0.4603464638095956</v>
      </c>
      <c r="U3" s="212" t="s">
        <v>109</v>
      </c>
      <c r="V3" s="108">
        <v>3263.43</v>
      </c>
      <c r="W3" s="109">
        <v>2470.5</v>
      </c>
      <c r="X3" s="123">
        <f>(V3-W3)/W3</f>
        <v>0.32095931997571336</v>
      </c>
      <c r="Y3" s="214" t="s">
        <v>109</v>
      </c>
      <c r="Z3" s="114">
        <v>1555.7</v>
      </c>
      <c r="AA3" s="115">
        <v>1584.1</v>
      </c>
      <c r="AB3" s="126">
        <f>(Z3-AA3)/AA3</f>
        <v>-1.7928161100940511E-2</v>
      </c>
      <c r="AC3" s="216" t="s">
        <v>109</v>
      </c>
      <c r="AD3" s="132">
        <v>1.1222000000000001</v>
      </c>
      <c r="AE3" s="133">
        <v>1.0962000000000001</v>
      </c>
      <c r="AF3" s="129">
        <f>(AD3-AE3)/AE3</f>
        <v>2.3718299580368564E-2</v>
      </c>
      <c r="AH3" s="203" t="s">
        <v>98</v>
      </c>
      <c r="AI3" s="204" t="s">
        <v>35</v>
      </c>
      <c r="AJ3" s="205" t="s">
        <v>36</v>
      </c>
      <c r="AK3" s="206" t="s">
        <v>38</v>
      </c>
      <c r="AL3" s="207" t="s">
        <v>39</v>
      </c>
    </row>
    <row r="4" spans="1:39" ht="14.5" customHeight="1" x14ac:dyDescent="0.35">
      <c r="A4" s="546"/>
      <c r="B4" s="141" t="s">
        <v>56</v>
      </c>
      <c r="C4" s="104">
        <v>11239.97</v>
      </c>
      <c r="D4" s="105">
        <v>9229.9</v>
      </c>
      <c r="E4" s="121">
        <f>(C4-D4)/D4</f>
        <v>0.21777809077021418</v>
      </c>
      <c r="F4" s="110">
        <v>3066.04</v>
      </c>
      <c r="G4" s="111">
        <v>3115.9</v>
      </c>
      <c r="H4" s="124">
        <f>(F4-G4)/G4</f>
        <v>-1.600179723354412E-2</v>
      </c>
      <c r="I4" s="116">
        <v>1756.52</v>
      </c>
      <c r="J4" s="117">
        <v>1779.9</v>
      </c>
      <c r="K4" s="127">
        <f>(I4-J4)/J4</f>
        <v>-1.3135569414012083E-2</v>
      </c>
      <c r="L4" s="134">
        <v>1.1137999999999999</v>
      </c>
      <c r="M4" s="135">
        <v>1.125</v>
      </c>
      <c r="N4" s="130">
        <f>(L4-M4)/M4</f>
        <v>-9.9555555555556428E-3</v>
      </c>
      <c r="O4" s="546"/>
      <c r="P4" s="141" t="s">
        <v>56</v>
      </c>
      <c r="Q4" s="218">
        <v>3.2390000000000001E-3</v>
      </c>
      <c r="R4" s="104">
        <v>13017.56</v>
      </c>
      <c r="S4" s="105">
        <v>9229.9</v>
      </c>
      <c r="T4" s="121">
        <f>(R4-S4)/S4</f>
        <v>0.41036847636485768</v>
      </c>
      <c r="U4" s="221">
        <v>1.0900000000000001E-4</v>
      </c>
      <c r="V4" s="110">
        <v>3296.03</v>
      </c>
      <c r="W4" s="111">
        <v>3115.9</v>
      </c>
      <c r="X4" s="124">
        <f>(V4-W4)/W4</f>
        <v>5.7809942552713538E-2</v>
      </c>
      <c r="Y4" s="222">
        <v>2.3000000000000001E-4</v>
      </c>
      <c r="Z4" s="116">
        <v>1588.63</v>
      </c>
      <c r="AA4" s="117">
        <v>1779.9</v>
      </c>
      <c r="AB4" s="127">
        <f>(Z4-AA4)/AA4</f>
        <v>-0.10746109331984942</v>
      </c>
      <c r="AC4" s="225">
        <v>1.2E-5</v>
      </c>
      <c r="AD4" s="134">
        <v>1.1234999999999999</v>
      </c>
      <c r="AE4" s="135">
        <v>1.125</v>
      </c>
      <c r="AF4" s="130">
        <f>(AD4-AE4)/AE4</f>
        <v>-1.3333333333333838E-3</v>
      </c>
      <c r="AH4" s="171" t="s">
        <v>99</v>
      </c>
      <c r="AI4" s="173">
        <v>88812.1</v>
      </c>
      <c r="AJ4" s="178">
        <v>6845.5</v>
      </c>
      <c r="AK4" s="183">
        <v>4361.55</v>
      </c>
      <c r="AL4" s="188">
        <v>1.1746000000000001</v>
      </c>
    </row>
    <row r="5" spans="1:39" ht="14.5" customHeight="1" x14ac:dyDescent="0.35">
      <c r="A5" s="546"/>
      <c r="B5" s="141" t="s">
        <v>57</v>
      </c>
      <c r="C5" s="104">
        <v>13121.52</v>
      </c>
      <c r="D5" s="105">
        <v>10620.5</v>
      </c>
      <c r="E5" s="121">
        <f>(C5-D5)/D5</f>
        <v>0.23548985452662308</v>
      </c>
      <c r="F5" s="110">
        <v>3540.4</v>
      </c>
      <c r="G5" s="111">
        <v>3380.8</v>
      </c>
      <c r="H5" s="124">
        <f>(F5-G5)/G5</f>
        <v>4.7207761476573559E-2</v>
      </c>
      <c r="I5" s="116">
        <v>1986.66</v>
      </c>
      <c r="J5" s="117">
        <v>1912.3</v>
      </c>
      <c r="K5" s="127">
        <f>(I5-J5)/J5</f>
        <v>3.8885112168592861E-2</v>
      </c>
      <c r="L5" s="134">
        <v>1.1917</v>
      </c>
      <c r="M5" s="135">
        <v>1.1747000000000001</v>
      </c>
      <c r="N5" s="130">
        <f>(L5-M5)/M5</f>
        <v>1.4471780028943478E-2</v>
      </c>
      <c r="O5" s="546"/>
      <c r="P5" s="141" t="s">
        <v>57</v>
      </c>
      <c r="Q5" s="211" t="s">
        <v>110</v>
      </c>
      <c r="R5" s="104">
        <v>17536.39</v>
      </c>
      <c r="S5" s="105">
        <v>10620.5</v>
      </c>
      <c r="T5" s="121">
        <f>(R5-S5)/S5</f>
        <v>0.65118308930841295</v>
      </c>
      <c r="U5" s="213" t="s">
        <v>110</v>
      </c>
      <c r="V5" s="110">
        <v>3329.32</v>
      </c>
      <c r="W5" s="111">
        <v>3380.8</v>
      </c>
      <c r="X5" s="124">
        <f>(V5-W5)/W5</f>
        <v>-1.5227165168007577E-2</v>
      </c>
      <c r="Y5" s="215" t="s">
        <v>110</v>
      </c>
      <c r="Z5" s="116">
        <v>1622.63</v>
      </c>
      <c r="AA5" s="117">
        <v>1912.3</v>
      </c>
      <c r="AB5" s="127">
        <f>(Z5-AA5)/AA5</f>
        <v>-0.15147727866966473</v>
      </c>
      <c r="AC5" s="217" t="s">
        <v>110</v>
      </c>
      <c r="AD5" s="134">
        <v>1.1247</v>
      </c>
      <c r="AE5" s="135">
        <v>1.1747000000000001</v>
      </c>
      <c r="AF5" s="130">
        <f>(AD5-AE5)/AE5</f>
        <v>-4.2564058908657568E-2</v>
      </c>
      <c r="AH5" s="171" t="s">
        <v>1</v>
      </c>
      <c r="AI5" s="173">
        <v>8747194.7699999996</v>
      </c>
      <c r="AJ5" s="178">
        <v>4105.26</v>
      </c>
      <c r="AK5" s="183">
        <v>2523.2399999999998</v>
      </c>
      <c r="AL5" s="188">
        <v>1.1511</v>
      </c>
    </row>
    <row r="6" spans="1:39" ht="15" customHeight="1" thickBot="1" x14ac:dyDescent="0.4">
      <c r="A6" s="547"/>
      <c r="B6" s="141" t="s">
        <v>58</v>
      </c>
      <c r="C6" s="106">
        <v>20779.330000000002</v>
      </c>
      <c r="D6" s="107">
        <v>29359.9</v>
      </c>
      <c r="E6" s="122">
        <f>(C6-D6)/D6</f>
        <v>-0.29225474201206403</v>
      </c>
      <c r="F6" s="112">
        <v>3677.24</v>
      </c>
      <c r="G6" s="113">
        <v>3756.1</v>
      </c>
      <c r="H6" s="125">
        <f>(F6-G6)/G6</f>
        <v>-2.0995181171960312E-2</v>
      </c>
      <c r="I6" s="118">
        <v>1830.64</v>
      </c>
      <c r="J6" s="119">
        <v>1895.1</v>
      </c>
      <c r="K6" s="128">
        <f>(I6-J6)/J6</f>
        <v>-3.4014036198617391E-2</v>
      </c>
      <c r="L6" s="136">
        <v>1.2078</v>
      </c>
      <c r="M6" s="137">
        <v>1.2213000000000001</v>
      </c>
      <c r="N6" s="131">
        <f>(L6-M6)/M6</f>
        <v>-1.1053795136330195E-2</v>
      </c>
      <c r="O6" s="547"/>
      <c r="P6" s="141" t="s">
        <v>58</v>
      </c>
      <c r="Q6" s="219">
        <v>6.9629999999999997E-2</v>
      </c>
      <c r="R6" s="106">
        <v>23623.86</v>
      </c>
      <c r="S6" s="107">
        <v>29359.9</v>
      </c>
      <c r="T6" s="122">
        <f>(R6-S6)/S6</f>
        <v>-0.19536987523799471</v>
      </c>
      <c r="U6" s="220">
        <v>9.8750000000000001E-3</v>
      </c>
      <c r="V6" s="112">
        <v>3362.94</v>
      </c>
      <c r="W6" s="113">
        <v>3756.1</v>
      </c>
      <c r="X6" s="125">
        <f>(V6-W6)/W6</f>
        <v>-0.10467239956337687</v>
      </c>
      <c r="Y6" s="223">
        <v>9.1219999999999999E-3</v>
      </c>
      <c r="Z6" s="118">
        <v>1657.36</v>
      </c>
      <c r="AA6" s="119">
        <v>1895.1</v>
      </c>
      <c r="AB6" s="128">
        <f>(Z6-AA6)/AA6</f>
        <v>-0.12544984433539128</v>
      </c>
      <c r="AC6" s="224">
        <v>5.1489999999999999E-3</v>
      </c>
      <c r="AD6" s="136">
        <v>1.1259999999999999</v>
      </c>
      <c r="AE6" s="137">
        <v>1.2213000000000001</v>
      </c>
      <c r="AF6" s="131">
        <f>(AD6-AE6)/AE6</f>
        <v>-7.8031605666093642E-2</v>
      </c>
      <c r="AH6" s="171" t="s">
        <v>10</v>
      </c>
      <c r="AI6" s="174">
        <f>(AI5-AI4)/AI4</f>
        <v>97.491025096805501</v>
      </c>
      <c r="AJ6" s="179">
        <f t="shared" ref="AJ6:AL6" si="0">(AJ5-AJ4)/AJ4</f>
        <v>-0.40029800598933601</v>
      </c>
      <c r="AK6" s="184">
        <f>(AK5-AK4)/AK4</f>
        <v>-0.42148089555318646</v>
      </c>
      <c r="AL6" s="189">
        <f t="shared" si="0"/>
        <v>-2.000681082921852E-2</v>
      </c>
    </row>
    <row r="7" spans="1:39" ht="14.5" customHeight="1" x14ac:dyDescent="0.35">
      <c r="A7" s="545">
        <v>2021</v>
      </c>
      <c r="B7" s="168" t="s">
        <v>59</v>
      </c>
      <c r="C7" s="102">
        <v>55212</v>
      </c>
      <c r="D7" s="103">
        <v>58718.3</v>
      </c>
      <c r="E7" s="120">
        <f t="shared" ref="E7:E30" si="1">(C7-D7)/D7</f>
        <v>-5.9713922235487112E-2</v>
      </c>
      <c r="F7" s="108">
        <v>3917.13</v>
      </c>
      <c r="G7" s="109">
        <v>4019.9</v>
      </c>
      <c r="H7" s="123">
        <f t="shared" ref="H7:H30" si="2">(F7-G7)/G7</f>
        <v>-2.5565312569964423E-2</v>
      </c>
      <c r="I7" s="114">
        <v>1735.9</v>
      </c>
      <c r="J7" s="115">
        <v>1727.3</v>
      </c>
      <c r="K7" s="126">
        <f t="shared" ref="K7:K30" si="3">(I7-J7)/J7</f>
        <v>4.9788687547039521E-3</v>
      </c>
      <c r="L7" s="132">
        <v>1.2055</v>
      </c>
      <c r="M7" s="133">
        <v>1.1775</v>
      </c>
      <c r="N7" s="129">
        <f t="shared" ref="N7:N30" si="4">(L7-M7)/M7</f>
        <v>2.3779193205944821E-2</v>
      </c>
      <c r="O7" s="545">
        <v>2021</v>
      </c>
      <c r="P7" s="168" t="s">
        <v>59</v>
      </c>
      <c r="Q7" s="210" t="s">
        <v>109</v>
      </c>
      <c r="R7" s="102">
        <v>39064.36</v>
      </c>
      <c r="S7" s="103">
        <v>58718.3</v>
      </c>
      <c r="T7" s="120">
        <f t="shared" ref="T7:T30" si="5">(R7-S7)/S7</f>
        <v>-0.33471575301056061</v>
      </c>
      <c r="U7" s="212" t="s">
        <v>109</v>
      </c>
      <c r="V7" s="108">
        <v>3798.61</v>
      </c>
      <c r="W7" s="109">
        <v>4019.9</v>
      </c>
      <c r="X7" s="123">
        <f t="shared" ref="X7:X30" si="6">(V7-W7)/W7</f>
        <v>-5.5048633050573385E-2</v>
      </c>
      <c r="Y7" s="214" t="s">
        <v>109</v>
      </c>
      <c r="Z7" s="114">
        <v>1938.3</v>
      </c>
      <c r="AA7" s="115">
        <v>1727.3</v>
      </c>
      <c r="AB7" s="126">
        <f t="shared" ref="AB7:AB30" si="7">(Z7-AA7)/AA7</f>
        <v>0.12215596595843224</v>
      </c>
      <c r="AC7" s="216" t="s">
        <v>109</v>
      </c>
      <c r="AD7" s="132">
        <v>1.2238</v>
      </c>
      <c r="AE7" s="133">
        <v>1.1775</v>
      </c>
      <c r="AF7" s="129">
        <f t="shared" ref="AF7:AF30" si="8">(AD7-AE7)/AE7</f>
        <v>3.9320594479830155E-2</v>
      </c>
      <c r="AH7" s="229" t="s">
        <v>112</v>
      </c>
      <c r="AI7" s="230">
        <v>3.2390000000000001E-3</v>
      </c>
      <c r="AJ7" s="231">
        <v>1.0900000000000001E-4</v>
      </c>
      <c r="AK7" s="232">
        <v>2.3000000000000001E-4</v>
      </c>
      <c r="AL7" s="233">
        <v>1.2E-5</v>
      </c>
    </row>
    <row r="8" spans="1:39" ht="14.5" customHeight="1" thickBot="1" x14ac:dyDescent="0.4">
      <c r="A8" s="546"/>
      <c r="B8" s="141" t="s">
        <v>60</v>
      </c>
      <c r="C8" s="104">
        <v>40520.19</v>
      </c>
      <c r="D8" s="105">
        <v>33543.599999999999</v>
      </c>
      <c r="E8" s="121">
        <f t="shared" si="1"/>
        <v>0.20798572604013893</v>
      </c>
      <c r="F8" s="110">
        <v>4218.87</v>
      </c>
      <c r="G8" s="111">
        <v>4319.8999999999996</v>
      </c>
      <c r="H8" s="124">
        <f t="shared" si="2"/>
        <v>-2.3387115442487037E-2</v>
      </c>
      <c r="I8" s="116">
        <v>1918.05</v>
      </c>
      <c r="J8" s="117">
        <v>1776.8</v>
      </c>
      <c r="K8" s="127">
        <f t="shared" si="3"/>
        <v>7.9496848266546599E-2</v>
      </c>
      <c r="L8" s="134">
        <v>1.222</v>
      </c>
      <c r="M8" s="135">
        <v>1.1848000000000001</v>
      </c>
      <c r="N8" s="130">
        <f t="shared" si="4"/>
        <v>3.1397704253882427E-2</v>
      </c>
      <c r="O8" s="546"/>
      <c r="P8" s="141" t="s">
        <v>60</v>
      </c>
      <c r="Q8" s="218">
        <v>3.2929999999999999E-3</v>
      </c>
      <c r="R8" s="104">
        <v>52713.51</v>
      </c>
      <c r="S8" s="105">
        <v>33543.599999999999</v>
      </c>
      <c r="T8" s="121">
        <f t="shared" si="5"/>
        <v>0.57149232640503711</v>
      </c>
      <c r="U8" s="221">
        <v>1.2400000000000001E-4</v>
      </c>
      <c r="V8" s="110">
        <v>3841.59</v>
      </c>
      <c r="W8" s="111">
        <v>4319.8999999999996</v>
      </c>
      <c r="X8" s="124">
        <f t="shared" si="6"/>
        <v>-0.11072247042755609</v>
      </c>
      <c r="Y8" s="222">
        <v>2.4800000000000001E-4</v>
      </c>
      <c r="Z8" s="116">
        <v>1982.49</v>
      </c>
      <c r="AA8" s="117">
        <v>1776.8</v>
      </c>
      <c r="AB8" s="127">
        <f t="shared" si="7"/>
        <v>0.11576429536244938</v>
      </c>
      <c r="AC8" s="225">
        <v>2.3E-5</v>
      </c>
      <c r="AD8" s="134">
        <v>1.2263999999999999</v>
      </c>
      <c r="AE8" s="135">
        <v>1.1848000000000001</v>
      </c>
      <c r="AF8" s="130">
        <f t="shared" si="8"/>
        <v>3.5111411208642689E-2</v>
      </c>
      <c r="AH8" s="209" t="s">
        <v>113</v>
      </c>
      <c r="AI8" s="234">
        <v>6.9629999999999997E-2</v>
      </c>
      <c r="AJ8" s="235">
        <v>9.8750000000000001E-3</v>
      </c>
      <c r="AK8" s="236">
        <v>9.1219999999999999E-3</v>
      </c>
      <c r="AL8" s="237">
        <v>5.1489999999999999E-3</v>
      </c>
    </row>
    <row r="9" spans="1:39" ht="14.5" customHeight="1" x14ac:dyDescent="0.35">
      <c r="A9" s="546"/>
      <c r="B9" s="141" t="s">
        <v>61</v>
      </c>
      <c r="C9" s="104">
        <v>53939.81</v>
      </c>
      <c r="D9" s="105">
        <v>48146</v>
      </c>
      <c r="E9" s="121">
        <f t="shared" si="1"/>
        <v>0.12033834586466161</v>
      </c>
      <c r="F9" s="110">
        <v>4543.2700000000004</v>
      </c>
      <c r="G9" s="111">
        <v>4357</v>
      </c>
      <c r="H9" s="124">
        <f t="shared" si="2"/>
        <v>4.2751893504705173E-2</v>
      </c>
      <c r="I9" s="116">
        <v>1826.96</v>
      </c>
      <c r="J9" s="117">
        <v>1757.7</v>
      </c>
      <c r="K9" s="127">
        <f t="shared" si="3"/>
        <v>3.940376628548671E-2</v>
      </c>
      <c r="L9" s="134">
        <v>1.1843999999999999</v>
      </c>
      <c r="M9" s="135">
        <v>1.1594</v>
      </c>
      <c r="N9" s="130">
        <f t="shared" si="4"/>
        <v>2.1562877350353556E-2</v>
      </c>
      <c r="O9" s="546"/>
      <c r="P9" s="141" t="s">
        <v>61</v>
      </c>
      <c r="Q9" s="211" t="s">
        <v>110</v>
      </c>
      <c r="R9" s="104">
        <v>71366.31</v>
      </c>
      <c r="S9" s="105">
        <v>48146</v>
      </c>
      <c r="T9" s="121">
        <f t="shared" si="5"/>
        <v>0.48228949445436792</v>
      </c>
      <c r="U9" s="213" t="s">
        <v>110</v>
      </c>
      <c r="V9" s="110">
        <v>3885.55</v>
      </c>
      <c r="W9" s="111">
        <v>4357</v>
      </c>
      <c r="X9" s="124">
        <f t="shared" si="6"/>
        <v>-0.10820518705531325</v>
      </c>
      <c r="Y9" s="215" t="s">
        <v>110</v>
      </c>
      <c r="Z9" s="116">
        <v>2028.18</v>
      </c>
      <c r="AA9" s="117">
        <v>1757.7</v>
      </c>
      <c r="AB9" s="127">
        <f t="shared" si="7"/>
        <v>0.15388291517323777</v>
      </c>
      <c r="AC9" s="217" t="s">
        <v>110</v>
      </c>
      <c r="AD9" s="134">
        <v>1.2289000000000001</v>
      </c>
      <c r="AE9" s="135">
        <v>1.1594</v>
      </c>
      <c r="AF9" s="130">
        <f t="shared" si="8"/>
        <v>5.9944799033983198E-2</v>
      </c>
      <c r="AH9" s="229" t="s">
        <v>116</v>
      </c>
      <c r="AI9" s="238">
        <f>AI8*AI8</f>
        <v>4.8483368999999998E-3</v>
      </c>
      <c r="AJ9" s="238">
        <f t="shared" ref="AJ9:AL9" si="9">AJ8*AJ8</f>
        <v>9.7515625E-5</v>
      </c>
      <c r="AK9" s="238">
        <f t="shared" si="9"/>
        <v>8.3210884000000003E-5</v>
      </c>
      <c r="AL9" s="239">
        <f t="shared" si="9"/>
        <v>2.6512200999999999E-5</v>
      </c>
      <c r="AM9" s="240"/>
    </row>
    <row r="10" spans="1:39" ht="15" customHeight="1" thickBot="1" x14ac:dyDescent="0.4">
      <c r="A10" s="546"/>
      <c r="B10" s="141" t="s">
        <v>62</v>
      </c>
      <c r="C10" s="106">
        <v>63307.83</v>
      </c>
      <c r="D10" s="107">
        <v>47738</v>
      </c>
      <c r="E10" s="122">
        <f t="shared" si="1"/>
        <v>0.32615170304579166</v>
      </c>
      <c r="F10" s="112">
        <v>4532.46</v>
      </c>
      <c r="G10" s="113">
        <v>4766.2</v>
      </c>
      <c r="H10" s="125">
        <f t="shared" si="2"/>
        <v>-4.9041164869287855E-2</v>
      </c>
      <c r="I10" s="118">
        <v>1796</v>
      </c>
      <c r="J10" s="119">
        <v>1828.6</v>
      </c>
      <c r="K10" s="128">
        <f t="shared" si="3"/>
        <v>-1.7827846439899327E-2</v>
      </c>
      <c r="L10" s="136">
        <v>1.1323000000000001</v>
      </c>
      <c r="M10" s="137">
        <v>1.1368</v>
      </c>
      <c r="N10" s="131">
        <f t="shared" si="4"/>
        <v>-3.9584799437015735E-3</v>
      </c>
      <c r="O10" s="546"/>
      <c r="P10" s="141" t="s">
        <v>62</v>
      </c>
      <c r="Q10" s="219">
        <v>6.7471000000000003E-2</v>
      </c>
      <c r="R10" s="106">
        <v>96619.45</v>
      </c>
      <c r="S10" s="107">
        <v>47738</v>
      </c>
      <c r="T10" s="122">
        <f t="shared" si="5"/>
        <v>1.0239526163643218</v>
      </c>
      <c r="U10" s="220">
        <v>1.0418999999999999E-2</v>
      </c>
      <c r="V10" s="112">
        <v>3930.01</v>
      </c>
      <c r="W10" s="113">
        <v>4766.2</v>
      </c>
      <c r="X10" s="125">
        <f t="shared" si="6"/>
        <v>-0.17544165163022946</v>
      </c>
      <c r="Y10" s="223">
        <v>9.2359999999999994E-3</v>
      </c>
      <c r="Z10" s="118">
        <v>2074.9299999999998</v>
      </c>
      <c r="AA10" s="119">
        <v>1828.6</v>
      </c>
      <c r="AB10" s="128">
        <f t="shared" si="7"/>
        <v>0.13470961391228259</v>
      </c>
      <c r="AC10" s="224">
        <v>5.0980000000000001E-3</v>
      </c>
      <c r="AD10" s="136">
        <v>1.2315</v>
      </c>
      <c r="AE10" s="137">
        <v>1.1368</v>
      </c>
      <c r="AF10" s="131">
        <f t="shared" si="8"/>
        <v>8.3304011259676292E-2</v>
      </c>
      <c r="AH10" s="209" t="s">
        <v>115</v>
      </c>
      <c r="AI10" s="234">
        <v>4.6369999999999996E-3</v>
      </c>
      <c r="AJ10" s="235">
        <v>9.7E-5</v>
      </c>
      <c r="AK10" s="236">
        <v>8.2999999999999998E-5</v>
      </c>
      <c r="AL10" s="237">
        <v>2.5999999999999998E-5</v>
      </c>
      <c r="AM10" s="240"/>
    </row>
    <row r="11" spans="1:39" ht="14.5" customHeight="1" x14ac:dyDescent="0.35">
      <c r="A11" s="545">
        <v>2022</v>
      </c>
      <c r="B11" s="168" t="s">
        <v>63</v>
      </c>
      <c r="C11" s="102">
        <v>48975.48</v>
      </c>
      <c r="D11" s="103">
        <v>46297</v>
      </c>
      <c r="E11" s="120">
        <f t="shared" si="1"/>
        <v>5.7854288614813121E-2</v>
      </c>
      <c r="F11" s="108">
        <v>4324.93</v>
      </c>
      <c r="G11" s="109">
        <v>4545.8599999999997</v>
      </c>
      <c r="H11" s="123">
        <f t="shared" si="2"/>
        <v>-4.8600264856374677E-2</v>
      </c>
      <c r="I11" s="114">
        <v>1958.46</v>
      </c>
      <c r="J11" s="115">
        <v>1951.1</v>
      </c>
      <c r="K11" s="126">
        <f t="shared" si="3"/>
        <v>3.7722310491518259E-3</v>
      </c>
      <c r="L11" s="132">
        <v>1.113</v>
      </c>
      <c r="M11" s="133">
        <v>1.1052999999999999</v>
      </c>
      <c r="N11" s="129">
        <f t="shared" si="4"/>
        <v>6.9664344521849636E-3</v>
      </c>
      <c r="O11" s="545">
        <v>2022</v>
      </c>
      <c r="P11" s="168" t="s">
        <v>63</v>
      </c>
      <c r="Q11" s="210" t="s">
        <v>109</v>
      </c>
      <c r="R11" s="102">
        <v>61380.79</v>
      </c>
      <c r="S11" s="103">
        <v>46297</v>
      </c>
      <c r="T11" s="120">
        <f t="shared" si="5"/>
        <v>0.32580491176534121</v>
      </c>
      <c r="U11" s="212" t="s">
        <v>109</v>
      </c>
      <c r="V11" s="108">
        <v>4830.6899999999996</v>
      </c>
      <c r="W11" s="109">
        <v>4545.8599999999997</v>
      </c>
      <c r="X11" s="123">
        <f t="shared" si="6"/>
        <v>6.2657010994619275E-2</v>
      </c>
      <c r="Y11" s="214" t="s">
        <v>109</v>
      </c>
      <c r="Z11" s="114">
        <v>1867.62</v>
      </c>
      <c r="AA11" s="115">
        <v>1951.1</v>
      </c>
      <c r="AB11" s="126">
        <f t="shared" si="7"/>
        <v>-4.2786120649889819E-2</v>
      </c>
      <c r="AC11" s="216" t="s">
        <v>109</v>
      </c>
      <c r="AD11" s="132">
        <v>1.1380999999999999</v>
      </c>
      <c r="AE11" s="133">
        <v>1.1052999999999999</v>
      </c>
      <c r="AF11" s="129">
        <f t="shared" si="8"/>
        <v>2.9675201302813665E-2</v>
      </c>
    </row>
    <row r="12" spans="1:39" ht="14.5" customHeight="1" x14ac:dyDescent="0.35">
      <c r="A12" s="546"/>
      <c r="B12" s="141" t="s">
        <v>64</v>
      </c>
      <c r="C12" s="104">
        <v>32603.49</v>
      </c>
      <c r="D12" s="105">
        <v>19262.900000000001</v>
      </c>
      <c r="E12" s="121">
        <f t="shared" si="1"/>
        <v>0.69255356150943004</v>
      </c>
      <c r="F12" s="110">
        <v>4117.57</v>
      </c>
      <c r="G12" s="111">
        <v>3825.33</v>
      </c>
      <c r="H12" s="124">
        <f t="shared" si="2"/>
        <v>7.6396023349619452E-2</v>
      </c>
      <c r="I12" s="116">
        <v>1858.77</v>
      </c>
      <c r="J12" s="117">
        <v>1807.3</v>
      </c>
      <c r="K12" s="127">
        <f t="shared" si="3"/>
        <v>2.8478946494771222E-2</v>
      </c>
      <c r="L12" s="134">
        <v>1.0648</v>
      </c>
      <c r="M12" s="135">
        <v>1.0427999999999999</v>
      </c>
      <c r="N12" s="130">
        <f t="shared" si="4"/>
        <v>2.109704641350213E-2</v>
      </c>
      <c r="O12" s="546"/>
      <c r="P12" s="141" t="s">
        <v>64</v>
      </c>
      <c r="Q12" s="218">
        <v>3.1180000000000001E-3</v>
      </c>
      <c r="R12" s="104">
        <v>81515.41</v>
      </c>
      <c r="S12" s="105">
        <v>19262.900000000001</v>
      </c>
      <c r="T12" s="121">
        <f t="shared" si="5"/>
        <v>3.2317309439388668</v>
      </c>
      <c r="U12" s="221">
        <v>1.4799999999999999E-4</v>
      </c>
      <c r="V12" s="110">
        <v>4896.05</v>
      </c>
      <c r="W12" s="111">
        <v>3825.33</v>
      </c>
      <c r="X12" s="124">
        <f t="shared" si="6"/>
        <v>0.27990264892179245</v>
      </c>
      <c r="Y12" s="222">
        <v>2.32E-4</v>
      </c>
      <c r="Z12" s="116">
        <v>1907.46</v>
      </c>
      <c r="AA12" s="117">
        <v>1807.3</v>
      </c>
      <c r="AB12" s="127">
        <f t="shared" si="7"/>
        <v>5.5419686825651571E-2</v>
      </c>
      <c r="AC12" s="225">
        <v>1.2999999999999999E-5</v>
      </c>
      <c r="AD12" s="134">
        <v>1.1394</v>
      </c>
      <c r="AE12" s="135">
        <v>1.0427999999999999</v>
      </c>
      <c r="AF12" s="130">
        <f t="shared" si="8"/>
        <v>9.2635212888377463E-2</v>
      </c>
    </row>
    <row r="13" spans="1:39" ht="14.5" customHeight="1" x14ac:dyDescent="0.35">
      <c r="A13" s="546"/>
      <c r="B13" s="141" t="s">
        <v>65</v>
      </c>
      <c r="C13" s="104">
        <v>21925.11</v>
      </c>
      <c r="D13" s="105">
        <v>19311.900000000001</v>
      </c>
      <c r="E13" s="121">
        <f t="shared" si="1"/>
        <v>0.1353160486539387</v>
      </c>
      <c r="F13" s="110">
        <v>3981.83</v>
      </c>
      <c r="G13" s="111">
        <v>3585.62</v>
      </c>
      <c r="H13" s="124">
        <f t="shared" si="2"/>
        <v>0.1104997183192865</v>
      </c>
      <c r="I13" s="116">
        <v>1710.88</v>
      </c>
      <c r="J13" s="117">
        <v>1663.6</v>
      </c>
      <c r="K13" s="127">
        <f t="shared" si="3"/>
        <v>2.8420293339745252E-2</v>
      </c>
      <c r="L13" s="134">
        <v>0.99439999999999995</v>
      </c>
      <c r="M13" s="135">
        <v>0.97989999999999999</v>
      </c>
      <c r="N13" s="130">
        <f t="shared" si="4"/>
        <v>1.479742830901108E-2</v>
      </c>
      <c r="O13" s="546"/>
      <c r="P13" s="141" t="s">
        <v>65</v>
      </c>
      <c r="Q13" s="211" t="s">
        <v>110</v>
      </c>
      <c r="R13" s="104">
        <v>108592.77</v>
      </c>
      <c r="S13" s="105">
        <v>19311.900000000001</v>
      </c>
      <c r="T13" s="121">
        <f t="shared" si="5"/>
        <v>4.6231013002345698</v>
      </c>
      <c r="U13" s="213" t="s">
        <v>110</v>
      </c>
      <c r="V13" s="110">
        <v>4963.03</v>
      </c>
      <c r="W13" s="111">
        <v>3585.62</v>
      </c>
      <c r="X13" s="124">
        <f t="shared" si="6"/>
        <v>0.38414834812389487</v>
      </c>
      <c r="Y13" s="215" t="s">
        <v>110</v>
      </c>
      <c r="Z13" s="116">
        <v>1948.61</v>
      </c>
      <c r="AA13" s="117">
        <v>1663.6</v>
      </c>
      <c r="AB13" s="127">
        <f t="shared" si="7"/>
        <v>0.1713212310651599</v>
      </c>
      <c r="AC13" s="217" t="s">
        <v>110</v>
      </c>
      <c r="AD13" s="134">
        <v>1.1408</v>
      </c>
      <c r="AE13" s="135">
        <v>0.97989999999999999</v>
      </c>
      <c r="AF13" s="130">
        <f t="shared" si="8"/>
        <v>0.16420042861516485</v>
      </c>
    </row>
    <row r="14" spans="1:39" ht="15" customHeight="1" thickBot="1" x14ac:dyDescent="0.4">
      <c r="A14" s="547"/>
      <c r="B14" s="141" t="s">
        <v>66</v>
      </c>
      <c r="C14" s="106">
        <v>18488.169999999998</v>
      </c>
      <c r="D14" s="107">
        <v>16618.400000000001</v>
      </c>
      <c r="E14" s="122">
        <f t="shared" si="1"/>
        <v>0.1125120348529339</v>
      </c>
      <c r="F14" s="112">
        <v>4092.8</v>
      </c>
      <c r="G14" s="113">
        <v>3839.5</v>
      </c>
      <c r="H14" s="125">
        <f t="shared" si="2"/>
        <v>6.5972131787993271E-2</v>
      </c>
      <c r="I14" s="118">
        <v>1820.64</v>
      </c>
      <c r="J14" s="119">
        <v>1826</v>
      </c>
      <c r="K14" s="128">
        <f t="shared" si="3"/>
        <v>-2.9353778751368565E-3</v>
      </c>
      <c r="L14" s="136">
        <v>1.0524</v>
      </c>
      <c r="M14" s="137">
        <v>1.0702</v>
      </c>
      <c r="N14" s="131">
        <f t="shared" si="4"/>
        <v>-1.6632405157914445E-2</v>
      </c>
      <c r="O14" s="547"/>
      <c r="P14" s="141" t="s">
        <v>66</v>
      </c>
      <c r="Q14" s="219">
        <v>6.5660999999999997E-2</v>
      </c>
      <c r="R14" s="106">
        <v>144664.53</v>
      </c>
      <c r="S14" s="107">
        <v>16618.400000000001</v>
      </c>
      <c r="T14" s="122">
        <f t="shared" si="5"/>
        <v>7.7050817166514225</v>
      </c>
      <c r="U14" s="220">
        <v>1.0285000000000001E-2</v>
      </c>
      <c r="V14" s="112">
        <v>5030.93</v>
      </c>
      <c r="W14" s="113">
        <v>3839.5</v>
      </c>
      <c r="X14" s="125">
        <f t="shared" si="6"/>
        <v>0.3103086339367106</v>
      </c>
      <c r="Y14" s="223">
        <v>9.1769999999999994E-3</v>
      </c>
      <c r="Z14" s="118">
        <v>1990.65</v>
      </c>
      <c r="AA14" s="119">
        <v>1826</v>
      </c>
      <c r="AB14" s="128">
        <f t="shared" si="7"/>
        <v>9.0169769989047147E-2</v>
      </c>
      <c r="AC14" s="224">
        <v>5.0220000000000004E-3</v>
      </c>
      <c r="AD14" s="136">
        <v>1.1420999999999999</v>
      </c>
      <c r="AE14" s="137">
        <v>1.0702</v>
      </c>
      <c r="AF14" s="131">
        <f t="shared" si="8"/>
        <v>6.7183703980564238E-2</v>
      </c>
    </row>
    <row r="15" spans="1:39" ht="14.5" customHeight="1" x14ac:dyDescent="0.35">
      <c r="A15" s="545">
        <v>2023</v>
      </c>
      <c r="B15" s="168" t="s">
        <v>67</v>
      </c>
      <c r="C15" s="102">
        <v>25755.1</v>
      </c>
      <c r="D15" s="103">
        <v>28456.1</v>
      </c>
      <c r="E15" s="120">
        <f t="shared" si="1"/>
        <v>-9.4918137060243685E-2</v>
      </c>
      <c r="F15" s="108">
        <v>3966.27</v>
      </c>
      <c r="G15" s="109">
        <v>4109.3100000000004</v>
      </c>
      <c r="H15" s="123">
        <f t="shared" si="2"/>
        <v>-3.4808763515042772E-2</v>
      </c>
      <c r="I15" s="114">
        <v>1858.5</v>
      </c>
      <c r="J15" s="115">
        <v>1988.5</v>
      </c>
      <c r="K15" s="126">
        <f t="shared" si="3"/>
        <v>-6.5375911491073677E-2</v>
      </c>
      <c r="L15" s="132">
        <v>1.0666</v>
      </c>
      <c r="M15" s="133">
        <v>1.0839000000000001</v>
      </c>
      <c r="N15" s="129">
        <f t="shared" si="4"/>
        <v>-1.5960882000184605E-2</v>
      </c>
      <c r="O15" s="545">
        <v>2023</v>
      </c>
      <c r="P15" s="168" t="s">
        <v>67</v>
      </c>
      <c r="Q15" s="210" t="s">
        <v>109</v>
      </c>
      <c r="R15" s="102">
        <v>21030.98</v>
      </c>
      <c r="S15" s="103">
        <v>28456.1</v>
      </c>
      <c r="T15" s="120">
        <f t="shared" si="5"/>
        <v>-0.26093245384996538</v>
      </c>
      <c r="U15" s="212" t="s">
        <v>109</v>
      </c>
      <c r="V15" s="108">
        <v>3880.08</v>
      </c>
      <c r="W15" s="109">
        <v>4109.3100000000004</v>
      </c>
      <c r="X15" s="123">
        <f t="shared" si="6"/>
        <v>-5.5783087671653013E-2</v>
      </c>
      <c r="Y15" s="214" t="s">
        <v>109</v>
      </c>
      <c r="Z15" s="114">
        <v>1863.22</v>
      </c>
      <c r="AA15" s="115">
        <v>1988.5</v>
      </c>
      <c r="AB15" s="126">
        <f t="shared" si="7"/>
        <v>-6.3002263012320828E-2</v>
      </c>
      <c r="AC15" s="216" t="s">
        <v>109</v>
      </c>
      <c r="AD15" s="132">
        <v>1.0707</v>
      </c>
      <c r="AE15" s="133">
        <v>1.0839000000000001</v>
      </c>
      <c r="AF15" s="129">
        <f t="shared" si="8"/>
        <v>-1.2178245225574407E-2</v>
      </c>
    </row>
    <row r="16" spans="1:39" ht="14.5" customHeight="1" x14ac:dyDescent="0.35">
      <c r="A16" s="546"/>
      <c r="B16" s="141" t="s">
        <v>68</v>
      </c>
      <c r="C16" s="104">
        <v>29127.05</v>
      </c>
      <c r="D16" s="105">
        <v>30586.799999999999</v>
      </c>
      <c r="E16" s="121">
        <f t="shared" si="1"/>
        <v>-4.7724835549975808E-2</v>
      </c>
      <c r="F16" s="110">
        <v>4237.13</v>
      </c>
      <c r="G16" s="111">
        <v>4450.38</v>
      </c>
      <c r="H16" s="124">
        <f t="shared" si="2"/>
        <v>-4.7917256503938986E-2</v>
      </c>
      <c r="I16" s="116">
        <v>2000.53</v>
      </c>
      <c r="J16" s="117">
        <v>1917.9</v>
      </c>
      <c r="K16" s="127">
        <f t="shared" si="3"/>
        <v>4.3083581000052079E-2</v>
      </c>
      <c r="L16" s="134">
        <v>1.0762</v>
      </c>
      <c r="M16" s="135">
        <v>1.091</v>
      </c>
      <c r="N16" s="130">
        <f t="shared" si="4"/>
        <v>-1.3565536205316154E-2</v>
      </c>
      <c r="O16" s="546"/>
      <c r="P16" s="141" t="s">
        <v>68</v>
      </c>
      <c r="Q16" s="218">
        <v>2.6410000000000001E-3</v>
      </c>
      <c r="R16" s="104">
        <v>26745.57</v>
      </c>
      <c r="S16" s="105">
        <v>30586.799999999999</v>
      </c>
      <c r="T16" s="121">
        <f t="shared" si="5"/>
        <v>-0.12558456589116873</v>
      </c>
      <c r="U16" s="221">
        <v>1.16E-4</v>
      </c>
      <c r="V16" s="110">
        <v>3921.08</v>
      </c>
      <c r="W16" s="111">
        <v>4450.38</v>
      </c>
      <c r="X16" s="124">
        <f t="shared" si="6"/>
        <v>-0.1189336640916057</v>
      </c>
      <c r="Y16" s="222">
        <v>2.22E-4</v>
      </c>
      <c r="Z16" s="116">
        <v>1901.2</v>
      </c>
      <c r="AA16" s="117">
        <v>1917.9</v>
      </c>
      <c r="AB16" s="127">
        <f t="shared" si="7"/>
        <v>-8.7074404296366044E-3</v>
      </c>
      <c r="AC16" s="225">
        <v>5.0000000000000004E-6</v>
      </c>
      <c r="AD16" s="134">
        <v>1.0711999999999999</v>
      </c>
      <c r="AE16" s="135">
        <v>1.091</v>
      </c>
      <c r="AF16" s="130">
        <f t="shared" si="8"/>
        <v>-1.81484876260312E-2</v>
      </c>
    </row>
    <row r="17" spans="1:32" ht="14.5" customHeight="1" x14ac:dyDescent="0.35">
      <c r="A17" s="546"/>
      <c r="B17" s="141" t="s">
        <v>69</v>
      </c>
      <c r="C17" s="104">
        <v>27971.13</v>
      </c>
      <c r="D17" s="105">
        <v>27974.5</v>
      </c>
      <c r="E17" s="121">
        <f t="shared" si="1"/>
        <v>-1.2046685374176416E-4</v>
      </c>
      <c r="F17" s="110">
        <v>4533.9399999999996</v>
      </c>
      <c r="G17" s="111">
        <v>4288.05</v>
      </c>
      <c r="H17" s="124">
        <f t="shared" si="2"/>
        <v>5.7343081353995268E-2</v>
      </c>
      <c r="I17" s="116">
        <v>1960.57</v>
      </c>
      <c r="J17" s="117">
        <v>1869.5</v>
      </c>
      <c r="K17" s="127">
        <f t="shared" si="3"/>
        <v>4.8713559775340969E-2</v>
      </c>
      <c r="L17" s="134">
        <v>1.0773999999999999</v>
      </c>
      <c r="M17" s="135">
        <v>1.0569999999999999</v>
      </c>
      <c r="N17" s="130">
        <f t="shared" si="4"/>
        <v>1.9299905392620602E-2</v>
      </c>
      <c r="O17" s="546"/>
      <c r="P17" s="141" t="s">
        <v>69</v>
      </c>
      <c r="Q17" s="211" t="s">
        <v>110</v>
      </c>
      <c r="R17" s="104">
        <v>34102.9</v>
      </c>
      <c r="S17" s="105">
        <v>27974.5</v>
      </c>
      <c r="T17" s="121">
        <f t="shared" si="5"/>
        <v>0.21907093960571239</v>
      </c>
      <c r="U17" s="213" t="s">
        <v>110</v>
      </c>
      <c r="V17" s="110">
        <v>3962.98</v>
      </c>
      <c r="W17" s="111">
        <v>4288.05</v>
      </c>
      <c r="X17" s="124">
        <f t="shared" si="6"/>
        <v>-7.5808351115308856E-2</v>
      </c>
      <c r="Y17" s="215" t="s">
        <v>110</v>
      </c>
      <c r="Z17" s="116">
        <v>1940.38</v>
      </c>
      <c r="AA17" s="117">
        <v>1869.5</v>
      </c>
      <c r="AB17" s="127">
        <f t="shared" si="7"/>
        <v>3.7913880716769245E-2</v>
      </c>
      <c r="AC17" s="217" t="s">
        <v>110</v>
      </c>
      <c r="AD17" s="134">
        <v>1.0717000000000001</v>
      </c>
      <c r="AE17" s="135">
        <v>1.0569999999999999</v>
      </c>
      <c r="AF17" s="130">
        <f t="shared" si="8"/>
        <v>1.3907284768212071E-2</v>
      </c>
    </row>
    <row r="18" spans="1:32" ht="15" customHeight="1" thickBot="1" x14ac:dyDescent="0.4">
      <c r="A18" s="547"/>
      <c r="B18" s="141" t="s">
        <v>70</v>
      </c>
      <c r="C18" s="106">
        <v>42073.29</v>
      </c>
      <c r="D18" s="107">
        <v>44183.4</v>
      </c>
      <c r="E18" s="122">
        <f t="shared" si="1"/>
        <v>-4.7757981504365908E-2</v>
      </c>
      <c r="F18" s="112">
        <v>4613.54</v>
      </c>
      <c r="G18" s="113">
        <v>4769.83</v>
      </c>
      <c r="H18" s="125">
        <f t="shared" si="2"/>
        <v>-3.2766366935509224E-2</v>
      </c>
      <c r="I18" s="118">
        <v>2062.59</v>
      </c>
      <c r="J18" s="119">
        <v>2083.5</v>
      </c>
      <c r="K18" s="128">
        <f t="shared" si="3"/>
        <v>-1.0035997120230311E-2</v>
      </c>
      <c r="L18" s="136">
        <v>1.0883</v>
      </c>
      <c r="M18" s="137">
        <v>1.1044</v>
      </c>
      <c r="N18" s="131">
        <f t="shared" si="4"/>
        <v>-1.4578051430641075E-2</v>
      </c>
      <c r="O18" s="547"/>
      <c r="P18" s="141" t="s">
        <v>70</v>
      </c>
      <c r="Q18" s="219">
        <v>6.3715999999999995E-2</v>
      </c>
      <c r="R18" s="106">
        <v>43484.12</v>
      </c>
      <c r="S18" s="107">
        <v>44183.4</v>
      </c>
      <c r="T18" s="122">
        <f t="shared" si="5"/>
        <v>-1.5826758465849137E-2</v>
      </c>
      <c r="U18" s="220">
        <v>1.0397999999999999E-2</v>
      </c>
      <c r="V18" s="112">
        <v>4005.33</v>
      </c>
      <c r="W18" s="113">
        <v>4769.83</v>
      </c>
      <c r="X18" s="125">
        <f t="shared" si="6"/>
        <v>-0.16027824891033854</v>
      </c>
      <c r="Y18" s="223">
        <v>9.1330000000000005E-3</v>
      </c>
      <c r="Z18" s="118">
        <v>1980.37</v>
      </c>
      <c r="AA18" s="119">
        <v>2083.5</v>
      </c>
      <c r="AB18" s="128">
        <f t="shared" si="7"/>
        <v>-4.9498440124790072E-2</v>
      </c>
      <c r="AC18" s="224">
        <v>5.0330000000000001E-3</v>
      </c>
      <c r="AD18" s="136">
        <v>1.0722</v>
      </c>
      <c r="AE18" s="137">
        <v>1.1044</v>
      </c>
      <c r="AF18" s="131">
        <f t="shared" si="8"/>
        <v>-2.9156102861282149E-2</v>
      </c>
    </row>
    <row r="19" spans="1:32" ht="14.5" customHeight="1" x14ac:dyDescent="0.35">
      <c r="A19" s="545">
        <v>2024</v>
      </c>
      <c r="B19" s="168" t="s">
        <v>71</v>
      </c>
      <c r="C19" s="102">
        <v>67960.210000000006</v>
      </c>
      <c r="D19" s="103">
        <v>69664.399999999994</v>
      </c>
      <c r="E19" s="120">
        <f t="shared" si="1"/>
        <v>-2.4462853336854804E-2</v>
      </c>
      <c r="F19" s="108">
        <v>5160.26</v>
      </c>
      <c r="G19" s="109">
        <v>5243.77</v>
      </c>
      <c r="H19" s="123">
        <f t="shared" si="2"/>
        <v>-1.5925565003804557E-2</v>
      </c>
      <c r="I19" s="114">
        <v>2069.5</v>
      </c>
      <c r="J19" s="115">
        <v>2245.9</v>
      </c>
      <c r="K19" s="126">
        <f t="shared" si="3"/>
        <v>-7.854312302417743E-2</v>
      </c>
      <c r="L19" s="132">
        <v>1.0839000000000001</v>
      </c>
      <c r="M19" s="133">
        <v>1.0743</v>
      </c>
      <c r="N19" s="129">
        <f t="shared" si="4"/>
        <v>8.9360513822954978E-3</v>
      </c>
      <c r="O19" s="545">
        <v>2024</v>
      </c>
      <c r="P19" s="168" t="s">
        <v>71</v>
      </c>
      <c r="Q19" s="210" t="s">
        <v>109</v>
      </c>
      <c r="R19" s="102">
        <v>53875.22</v>
      </c>
      <c r="S19" s="103">
        <v>69664.399999999994</v>
      </c>
      <c r="T19" s="120">
        <f t="shared" si="5"/>
        <v>-0.22664632150711114</v>
      </c>
      <c r="U19" s="212" t="s">
        <v>109</v>
      </c>
      <c r="V19" s="108">
        <v>4829.6499999999996</v>
      </c>
      <c r="W19" s="109">
        <v>5243.77</v>
      </c>
      <c r="X19" s="123">
        <f t="shared" si="6"/>
        <v>-7.8973715475697981E-2</v>
      </c>
      <c r="Y19" s="214" t="s">
        <v>109</v>
      </c>
      <c r="Z19" s="114">
        <v>2127.58</v>
      </c>
      <c r="AA19" s="115">
        <v>2245.9</v>
      </c>
      <c r="AB19" s="126">
        <f t="shared" si="7"/>
        <v>-5.268266619172722E-2</v>
      </c>
      <c r="AC19" s="216" t="s">
        <v>109</v>
      </c>
      <c r="AD19" s="132">
        <v>1.1044</v>
      </c>
      <c r="AE19" s="133">
        <v>1.0743</v>
      </c>
      <c r="AF19" s="129">
        <f t="shared" si="8"/>
        <v>2.8018244438238867E-2</v>
      </c>
    </row>
    <row r="20" spans="1:32" ht="14.5" customHeight="1" x14ac:dyDescent="0.35">
      <c r="A20" s="546"/>
      <c r="B20" s="141" t="s">
        <v>72</v>
      </c>
      <c r="C20" s="104">
        <v>73561.66</v>
      </c>
      <c r="D20" s="105">
        <v>62890.1</v>
      </c>
      <c r="E20" s="121">
        <f t="shared" si="1"/>
        <v>0.16968584880609197</v>
      </c>
      <c r="F20" s="110">
        <v>5300.94</v>
      </c>
      <c r="G20" s="111">
        <v>5475.09</v>
      </c>
      <c r="H20" s="124">
        <f t="shared" si="2"/>
        <v>-3.1807696311841549E-2</v>
      </c>
      <c r="I20" s="116">
        <v>2371.89</v>
      </c>
      <c r="J20" s="117">
        <v>2338.9</v>
      </c>
      <c r="K20" s="127">
        <f t="shared" si="3"/>
        <v>1.4104921116764197E-2</v>
      </c>
      <c r="L20" s="134">
        <v>1.0843</v>
      </c>
      <c r="M20" s="135">
        <v>1.0738000000000001</v>
      </c>
      <c r="N20" s="130">
        <f t="shared" si="4"/>
        <v>9.7783572359843116E-3</v>
      </c>
      <c r="O20" s="546"/>
      <c r="P20" s="141" t="s">
        <v>72</v>
      </c>
      <c r="Q20" s="218">
        <v>2.6359999999999999E-3</v>
      </c>
      <c r="R20" s="104">
        <v>68481.83</v>
      </c>
      <c r="S20" s="105">
        <v>62890.1</v>
      </c>
      <c r="T20" s="121">
        <f t="shared" si="5"/>
        <v>8.8912722352166768E-2</v>
      </c>
      <c r="U20" s="221">
        <v>1.35E-4</v>
      </c>
      <c r="V20" s="110">
        <v>4889.5600000000004</v>
      </c>
      <c r="W20" s="111">
        <v>5475.09</v>
      </c>
      <c r="X20" s="124">
        <f t="shared" si="6"/>
        <v>-0.10694436073196965</v>
      </c>
      <c r="Y20" s="222">
        <v>2.2800000000000001E-4</v>
      </c>
      <c r="Z20" s="116">
        <v>2172.1</v>
      </c>
      <c r="AA20" s="117">
        <v>2338.9</v>
      </c>
      <c r="AB20" s="127">
        <f t="shared" si="7"/>
        <v>-7.1315575697977751E-2</v>
      </c>
      <c r="AC20" s="225">
        <v>7.9999999999999996E-6</v>
      </c>
      <c r="AD20" s="134">
        <v>1.1052999999999999</v>
      </c>
      <c r="AE20" s="135">
        <v>1.0738000000000001</v>
      </c>
      <c r="AF20" s="130">
        <f t="shared" si="8"/>
        <v>2.9335071707952933E-2</v>
      </c>
    </row>
    <row r="21" spans="1:32" ht="14.5" customHeight="1" x14ac:dyDescent="0.35">
      <c r="A21" s="546"/>
      <c r="B21" s="141" t="s">
        <v>73</v>
      </c>
      <c r="C21" s="104">
        <v>62077.120000000003</v>
      </c>
      <c r="D21" s="105">
        <v>60835.5</v>
      </c>
      <c r="E21" s="121">
        <f t="shared" si="1"/>
        <v>2.0409464868374593E-2</v>
      </c>
      <c r="F21" s="110">
        <v>5674.78</v>
      </c>
      <c r="G21" s="111">
        <v>5708.75</v>
      </c>
      <c r="H21" s="124">
        <f t="shared" si="2"/>
        <v>-5.9505145609809948E-3</v>
      </c>
      <c r="I21" s="116">
        <v>2555.66</v>
      </c>
      <c r="J21" s="117">
        <v>2678.5</v>
      </c>
      <c r="K21" s="127">
        <f t="shared" si="3"/>
        <v>-4.5861489639723779E-2</v>
      </c>
      <c r="L21" s="134">
        <v>1.105</v>
      </c>
      <c r="M21" s="135">
        <v>1.1067</v>
      </c>
      <c r="N21" s="130">
        <f t="shared" si="4"/>
        <v>-1.5360983102918901E-3</v>
      </c>
      <c r="O21" s="546"/>
      <c r="P21" s="141" t="s">
        <v>73</v>
      </c>
      <c r="Q21" s="211" t="s">
        <v>110</v>
      </c>
      <c r="R21" s="104">
        <v>87278.35</v>
      </c>
      <c r="S21" s="105">
        <v>60835.5</v>
      </c>
      <c r="T21" s="121">
        <f t="shared" si="5"/>
        <v>0.43466150520666397</v>
      </c>
      <c r="U21" s="213" t="s">
        <v>110</v>
      </c>
      <c r="V21" s="110">
        <v>4950.88</v>
      </c>
      <c r="W21" s="111">
        <v>5708.75</v>
      </c>
      <c r="X21" s="124">
        <f t="shared" si="6"/>
        <v>-0.13275585723669803</v>
      </c>
      <c r="Y21" s="215" t="s">
        <v>110</v>
      </c>
      <c r="Z21" s="116">
        <v>2218.0500000000002</v>
      </c>
      <c r="AA21" s="117">
        <v>2678.5</v>
      </c>
      <c r="AB21" s="127">
        <f t="shared" si="7"/>
        <v>-0.17190591749113304</v>
      </c>
      <c r="AC21" s="217" t="s">
        <v>110</v>
      </c>
      <c r="AD21" s="134">
        <v>1.1061000000000001</v>
      </c>
      <c r="AE21" s="135">
        <v>1.1067</v>
      </c>
      <c r="AF21" s="130">
        <f t="shared" si="8"/>
        <v>-5.4215234480883162E-4</v>
      </c>
    </row>
    <row r="22" spans="1:32" ht="15" customHeight="1" thickBot="1" x14ac:dyDescent="0.4">
      <c r="A22" s="547"/>
      <c r="B22" s="169" t="s">
        <v>74</v>
      </c>
      <c r="C22" s="106">
        <v>105770.23</v>
      </c>
      <c r="D22" s="107">
        <v>94560.2</v>
      </c>
      <c r="E22" s="122">
        <f t="shared" si="1"/>
        <v>0.11854913589438262</v>
      </c>
      <c r="F22" s="112">
        <v>6062.69</v>
      </c>
      <c r="G22" s="113">
        <v>5881.63</v>
      </c>
      <c r="H22" s="125">
        <f t="shared" si="2"/>
        <v>3.0783983351553818E-2</v>
      </c>
      <c r="I22" s="118">
        <v>2672.88</v>
      </c>
      <c r="J22" s="119">
        <v>2618.1</v>
      </c>
      <c r="K22" s="128">
        <f t="shared" si="3"/>
        <v>2.0923570528245752E-2</v>
      </c>
      <c r="L22" s="136">
        <v>1.0576000000000001</v>
      </c>
      <c r="M22" s="137">
        <v>1.0355000000000001</v>
      </c>
      <c r="N22" s="131">
        <f t="shared" si="4"/>
        <v>2.1342346692419127E-2</v>
      </c>
      <c r="O22" s="547"/>
      <c r="P22" s="169" t="s">
        <v>74</v>
      </c>
      <c r="Q22" s="219">
        <v>6.1615999999999997E-2</v>
      </c>
      <c r="R22" s="106">
        <v>111234.03</v>
      </c>
      <c r="S22" s="107">
        <v>94560.2</v>
      </c>
      <c r="T22" s="122">
        <f t="shared" si="5"/>
        <v>0.1763303165602442</v>
      </c>
      <c r="U22" s="220">
        <v>1.0274999999999999E-2</v>
      </c>
      <c r="V22" s="112">
        <v>5012.9799999999996</v>
      </c>
      <c r="W22" s="113">
        <v>5881.63</v>
      </c>
      <c r="X22" s="125">
        <f t="shared" si="6"/>
        <v>-0.14768865093520003</v>
      </c>
      <c r="Y22" s="223">
        <v>9.0570000000000008E-3</v>
      </c>
      <c r="Z22" s="118">
        <v>2264.98</v>
      </c>
      <c r="AA22" s="119">
        <v>2618.1</v>
      </c>
      <c r="AB22" s="128">
        <f t="shared" si="7"/>
        <v>-0.1348764371108819</v>
      </c>
      <c r="AC22" s="224">
        <v>4.9919999999999999E-3</v>
      </c>
      <c r="AD22" s="136">
        <v>1.107</v>
      </c>
      <c r="AE22" s="137">
        <v>1.0355000000000001</v>
      </c>
      <c r="AF22" s="131">
        <f t="shared" si="8"/>
        <v>6.9048768710767636E-2</v>
      </c>
    </row>
    <row r="23" spans="1:32" ht="14.5" customHeight="1" x14ac:dyDescent="0.35">
      <c r="A23" s="545">
        <v>2025</v>
      </c>
      <c r="B23" s="168" t="s">
        <v>75</v>
      </c>
      <c r="C23" s="102">
        <v>93413.73</v>
      </c>
      <c r="D23" s="103">
        <v>85164.2</v>
      </c>
      <c r="E23" s="120">
        <f t="shared" si="1"/>
        <v>9.6866171466414283E-2</v>
      </c>
      <c r="F23" s="108">
        <v>5983.8</v>
      </c>
      <c r="G23" s="109">
        <v>5633.07</v>
      </c>
      <c r="H23" s="123">
        <f t="shared" si="2"/>
        <v>6.2262673817296874E-2</v>
      </c>
      <c r="I23" s="114">
        <v>2919.43</v>
      </c>
      <c r="J23" s="115">
        <v>3146</v>
      </c>
      <c r="K23" s="126">
        <f t="shared" si="3"/>
        <v>-7.2018436109345246E-2</v>
      </c>
      <c r="L23" s="132">
        <v>1.0375000000000001</v>
      </c>
      <c r="M23" s="133">
        <v>1.0792999999999999</v>
      </c>
      <c r="N23" s="129">
        <f t="shared" si="4"/>
        <v>-3.8728805707402801E-2</v>
      </c>
      <c r="O23" s="545">
        <v>2025</v>
      </c>
      <c r="P23" s="168" t="s">
        <v>75</v>
      </c>
      <c r="Q23" s="210" t="s">
        <v>109</v>
      </c>
      <c r="R23" s="102">
        <v>118573.55</v>
      </c>
      <c r="S23" s="103">
        <v>85164.2</v>
      </c>
      <c r="T23" s="120">
        <f t="shared" si="5"/>
        <v>0.39229335800723786</v>
      </c>
      <c r="U23" s="212" t="s">
        <v>109</v>
      </c>
      <c r="V23" s="108">
        <v>5964.09</v>
      </c>
      <c r="W23" s="109">
        <v>5633.07</v>
      </c>
      <c r="X23" s="123">
        <f t="shared" si="6"/>
        <v>5.8763693687456479E-2</v>
      </c>
      <c r="Y23" s="214" t="s">
        <v>109</v>
      </c>
      <c r="Z23" s="114">
        <v>2676.75</v>
      </c>
      <c r="AA23" s="115">
        <v>3146</v>
      </c>
      <c r="AB23" s="126">
        <f t="shared" si="7"/>
        <v>-0.14915766052129689</v>
      </c>
      <c r="AC23" s="216" t="s">
        <v>109</v>
      </c>
      <c r="AD23" s="132">
        <v>1.0354000000000001</v>
      </c>
      <c r="AE23" s="133">
        <v>1.0792999999999999</v>
      </c>
      <c r="AF23" s="129">
        <f t="shared" si="8"/>
        <v>-4.0674511257296236E-2</v>
      </c>
    </row>
    <row r="24" spans="1:32" ht="14.5" customHeight="1" x14ac:dyDescent="0.35">
      <c r="A24" s="546"/>
      <c r="B24" s="141" t="s">
        <v>76</v>
      </c>
      <c r="C24" s="104">
        <v>114295.65</v>
      </c>
      <c r="D24" s="105">
        <v>105694.3</v>
      </c>
      <c r="E24" s="121">
        <f t="shared" si="1"/>
        <v>8.1379506747289027E-2</v>
      </c>
      <c r="F24" s="110">
        <v>5939.25</v>
      </c>
      <c r="G24" s="111">
        <v>6198.01</v>
      </c>
      <c r="H24" s="124">
        <f t="shared" si="2"/>
        <v>-4.1748883915966609E-2</v>
      </c>
      <c r="I24" s="116">
        <v>3371.94</v>
      </c>
      <c r="J24" s="117">
        <v>3349.8</v>
      </c>
      <c r="K24" s="127">
        <f t="shared" si="3"/>
        <v>6.6093498119290323E-3</v>
      </c>
      <c r="L24" s="134">
        <v>1.1352</v>
      </c>
      <c r="M24" s="135">
        <v>1.1807000000000001</v>
      </c>
      <c r="N24" s="130">
        <f t="shared" si="4"/>
        <v>-3.8536461421190896E-2</v>
      </c>
      <c r="O24" s="546"/>
      <c r="P24" s="141" t="s">
        <v>76</v>
      </c>
      <c r="Q24" s="218">
        <v>2.604E-3</v>
      </c>
      <c r="R24" s="104">
        <v>150279.04999999999</v>
      </c>
      <c r="S24" s="105">
        <v>105694.3</v>
      </c>
      <c r="T24" s="121">
        <f t="shared" si="5"/>
        <v>0.42182738331206115</v>
      </c>
      <c r="U24" s="221">
        <v>1.5300000000000001E-4</v>
      </c>
      <c r="V24" s="110">
        <v>6047.71</v>
      </c>
      <c r="W24" s="111">
        <v>6198.01</v>
      </c>
      <c r="X24" s="124">
        <f t="shared" si="6"/>
        <v>-2.4249718861376501E-2</v>
      </c>
      <c r="Y24" s="222">
        <v>2.43E-4</v>
      </c>
      <c r="Z24" s="116">
        <v>2736.71</v>
      </c>
      <c r="AA24" s="117">
        <v>3349.8</v>
      </c>
      <c r="AB24" s="127">
        <f t="shared" si="7"/>
        <v>-0.18302286703683807</v>
      </c>
      <c r="AC24" s="225">
        <v>9.9999999999999995E-7</v>
      </c>
      <c r="AD24" s="134">
        <v>1.0355000000000001</v>
      </c>
      <c r="AE24" s="135">
        <v>1.1807000000000001</v>
      </c>
      <c r="AF24" s="130">
        <f t="shared" si="8"/>
        <v>-0.12297789446938255</v>
      </c>
    </row>
    <row r="25" spans="1:32" ht="14.5" customHeight="1" x14ac:dyDescent="0.35">
      <c r="A25" s="546"/>
      <c r="B25" s="141" t="s">
        <v>77</v>
      </c>
      <c r="C25" s="104">
        <v>118088.85</v>
      </c>
      <c r="D25" s="105">
        <v>118576.2</v>
      </c>
      <c r="E25" s="121">
        <f t="shared" si="1"/>
        <v>-4.1100153319130759E-3</v>
      </c>
      <c r="F25" s="110">
        <v>6492.37</v>
      </c>
      <c r="G25" s="111">
        <v>6711.2</v>
      </c>
      <c r="H25" s="124">
        <f t="shared" si="2"/>
        <v>-3.2606687328644642E-2</v>
      </c>
      <c r="I25" s="116">
        <v>3541.59</v>
      </c>
      <c r="J25" s="117">
        <v>3897.5</v>
      </c>
      <c r="K25" s="127">
        <f t="shared" si="3"/>
        <v>-9.1317511225144282E-2</v>
      </c>
      <c r="L25" s="134">
        <v>1.1716</v>
      </c>
      <c r="M25" s="135">
        <v>1.173</v>
      </c>
      <c r="N25" s="130">
        <f t="shared" si="4"/>
        <v>-1.1935208866155735E-3</v>
      </c>
      <c r="O25" s="546"/>
      <c r="P25" s="141" t="s">
        <v>77</v>
      </c>
      <c r="Q25" s="211" t="s">
        <v>110</v>
      </c>
      <c r="R25" s="104">
        <v>190958.91</v>
      </c>
      <c r="S25" s="105">
        <v>118576.2</v>
      </c>
      <c r="T25" s="121">
        <f t="shared" si="5"/>
        <v>0.61043202598835189</v>
      </c>
      <c r="U25" s="213" t="s">
        <v>110</v>
      </c>
      <c r="V25" s="110">
        <v>6133.43</v>
      </c>
      <c r="W25" s="111">
        <v>6711.2</v>
      </c>
      <c r="X25" s="124">
        <f t="shared" si="6"/>
        <v>-8.609041602097979E-2</v>
      </c>
      <c r="Y25" s="215" t="s">
        <v>110</v>
      </c>
      <c r="Z25" s="116">
        <v>2798.1</v>
      </c>
      <c r="AA25" s="117">
        <v>3897.5</v>
      </c>
      <c r="AB25" s="127">
        <f t="shared" si="7"/>
        <v>-0.28207825529185376</v>
      </c>
      <c r="AC25" s="217" t="s">
        <v>110</v>
      </c>
      <c r="AD25" s="134">
        <v>1.0356000000000001</v>
      </c>
      <c r="AE25" s="135">
        <v>1.173</v>
      </c>
      <c r="AF25" s="130">
        <f t="shared" si="8"/>
        <v>-0.11713554987212273</v>
      </c>
    </row>
    <row r="26" spans="1:32" ht="15" customHeight="1" thickBot="1" x14ac:dyDescent="0.4">
      <c r="A26" s="547"/>
      <c r="B26" s="141" t="s">
        <v>78</v>
      </c>
      <c r="C26" s="106">
        <v>93289.99</v>
      </c>
      <c r="D26" s="107">
        <v>88812.1</v>
      </c>
      <c r="E26" s="122">
        <f t="shared" si="1"/>
        <v>5.0419818921070426E-2</v>
      </c>
      <c r="F26" s="112">
        <v>6848.54</v>
      </c>
      <c r="G26" s="113">
        <v>6845.5</v>
      </c>
      <c r="H26" s="125">
        <f t="shared" si="2"/>
        <v>4.4408735665765297E-4</v>
      </c>
      <c r="I26" s="118">
        <v>4314.17</v>
      </c>
      <c r="J26" s="119">
        <v>4361.55</v>
      </c>
      <c r="K26" s="128">
        <f t="shared" si="3"/>
        <v>-1.0863110591418213E-2</v>
      </c>
      <c r="L26" s="136">
        <v>1.1615</v>
      </c>
      <c r="M26" s="137">
        <v>1.1746000000000001</v>
      </c>
      <c r="N26" s="131">
        <f t="shared" si="4"/>
        <v>-1.1152732845224E-2</v>
      </c>
      <c r="O26" s="547"/>
      <c r="P26" s="141" t="s">
        <v>78</v>
      </c>
      <c r="Q26" s="219">
        <v>5.9882999999999999E-2</v>
      </c>
      <c r="R26" s="106">
        <v>242650.63</v>
      </c>
      <c r="S26" s="107">
        <v>88812.1</v>
      </c>
      <c r="T26" s="122">
        <f t="shared" si="5"/>
        <v>1.7321798493673721</v>
      </c>
      <c r="U26" s="220">
        <v>1.0154E-2</v>
      </c>
      <c r="V26" s="112">
        <v>6220.37</v>
      </c>
      <c r="W26" s="113">
        <v>6845.5</v>
      </c>
      <c r="X26" s="125">
        <f t="shared" si="6"/>
        <v>-9.1319845153750662E-2</v>
      </c>
      <c r="Y26" s="223">
        <v>9.0050000000000009E-3</v>
      </c>
      <c r="Z26" s="118">
        <v>2862.1</v>
      </c>
      <c r="AA26" s="119">
        <v>4361.55</v>
      </c>
      <c r="AB26" s="128">
        <f t="shared" si="7"/>
        <v>-0.34378833212963289</v>
      </c>
      <c r="AC26" s="224">
        <v>4.9300000000000004E-3</v>
      </c>
      <c r="AD26" s="136">
        <v>1.0357000000000001</v>
      </c>
      <c r="AE26" s="137">
        <v>1.1746000000000001</v>
      </c>
      <c r="AF26" s="131">
        <f t="shared" si="8"/>
        <v>-0.11825302230546571</v>
      </c>
    </row>
    <row r="27" spans="1:32" ht="14.5" customHeight="1" x14ac:dyDescent="0.35">
      <c r="A27" s="545">
        <v>2026</v>
      </c>
      <c r="B27" s="168" t="s">
        <v>79</v>
      </c>
      <c r="C27" s="102"/>
      <c r="D27" s="103"/>
      <c r="E27" s="120" t="e">
        <f>(C27-D27)/D27</f>
        <v>#DIV/0!</v>
      </c>
      <c r="F27" s="108"/>
      <c r="G27" s="109"/>
      <c r="H27" s="123" t="e">
        <f t="shared" si="2"/>
        <v>#DIV/0!</v>
      </c>
      <c r="I27" s="114"/>
      <c r="J27" s="115"/>
      <c r="K27" s="126" t="e">
        <f t="shared" si="3"/>
        <v>#DIV/0!</v>
      </c>
      <c r="L27" s="132"/>
      <c r="M27" s="133"/>
      <c r="N27" s="129" t="e">
        <f t="shared" si="4"/>
        <v>#DIV/0!</v>
      </c>
      <c r="O27" s="545">
        <v>2026</v>
      </c>
      <c r="P27" s="168" t="s">
        <v>79</v>
      </c>
      <c r="Q27" s="210" t="s">
        <v>109</v>
      </c>
      <c r="R27" s="102"/>
      <c r="S27" s="103"/>
      <c r="T27" s="120" t="e">
        <f t="shared" si="5"/>
        <v>#DIV/0!</v>
      </c>
      <c r="U27" s="212" t="s">
        <v>109</v>
      </c>
      <c r="V27" s="108"/>
      <c r="W27" s="109"/>
      <c r="X27" s="123" t="e">
        <f t="shared" si="6"/>
        <v>#DIV/0!</v>
      </c>
      <c r="Y27" s="214" t="s">
        <v>109</v>
      </c>
      <c r="Z27" s="114"/>
      <c r="AA27" s="115"/>
      <c r="AB27" s="126" t="e">
        <f t="shared" si="7"/>
        <v>#DIV/0!</v>
      </c>
      <c r="AC27" s="216" t="s">
        <v>109</v>
      </c>
      <c r="AD27" s="132"/>
      <c r="AE27" s="133"/>
      <c r="AF27" s="129" t="e">
        <f t="shared" si="8"/>
        <v>#DIV/0!</v>
      </c>
    </row>
    <row r="28" spans="1:32" ht="14.5" customHeight="1" x14ac:dyDescent="0.35">
      <c r="A28" s="546"/>
      <c r="B28" s="141" t="s">
        <v>80</v>
      </c>
      <c r="C28" s="104"/>
      <c r="D28" s="105"/>
      <c r="E28" s="121" t="e">
        <f t="shared" si="1"/>
        <v>#DIV/0!</v>
      </c>
      <c r="F28" s="110"/>
      <c r="G28" s="111"/>
      <c r="H28" s="124" t="e">
        <f t="shared" si="2"/>
        <v>#DIV/0!</v>
      </c>
      <c r="I28" s="116"/>
      <c r="J28" s="117"/>
      <c r="K28" s="127" t="e">
        <f t="shared" si="3"/>
        <v>#DIV/0!</v>
      </c>
      <c r="L28" s="134"/>
      <c r="M28" s="135"/>
      <c r="N28" s="130" t="e">
        <f t="shared" si="4"/>
        <v>#DIV/0!</v>
      </c>
      <c r="O28" s="546"/>
      <c r="P28" s="141" t="s">
        <v>80</v>
      </c>
      <c r="Q28" s="218"/>
      <c r="R28" s="104"/>
      <c r="S28" s="105"/>
      <c r="T28" s="121" t="e">
        <f t="shared" si="5"/>
        <v>#DIV/0!</v>
      </c>
      <c r="U28" s="221"/>
      <c r="V28" s="110"/>
      <c r="W28" s="111"/>
      <c r="X28" s="124" t="e">
        <f t="shared" si="6"/>
        <v>#DIV/0!</v>
      </c>
      <c r="Y28" s="222"/>
      <c r="Z28" s="116"/>
      <c r="AA28" s="117"/>
      <c r="AB28" s="127" t="e">
        <f t="shared" si="7"/>
        <v>#DIV/0!</v>
      </c>
      <c r="AC28" s="225"/>
      <c r="AD28" s="134"/>
      <c r="AE28" s="135"/>
      <c r="AF28" s="130" t="e">
        <f t="shared" si="8"/>
        <v>#DIV/0!</v>
      </c>
    </row>
    <row r="29" spans="1:32" ht="14.5" customHeight="1" x14ac:dyDescent="0.35">
      <c r="A29" s="546"/>
      <c r="B29" s="141" t="s">
        <v>81</v>
      </c>
      <c r="C29" s="104"/>
      <c r="D29" s="105"/>
      <c r="E29" s="121" t="e">
        <f t="shared" si="1"/>
        <v>#DIV/0!</v>
      </c>
      <c r="F29" s="110"/>
      <c r="G29" s="111"/>
      <c r="H29" s="124" t="e">
        <f t="shared" si="2"/>
        <v>#DIV/0!</v>
      </c>
      <c r="I29" s="116"/>
      <c r="J29" s="117"/>
      <c r="K29" s="127" t="e">
        <f t="shared" si="3"/>
        <v>#DIV/0!</v>
      </c>
      <c r="L29" s="134"/>
      <c r="M29" s="135"/>
      <c r="N29" s="130" t="e">
        <f t="shared" si="4"/>
        <v>#DIV/0!</v>
      </c>
      <c r="O29" s="546"/>
      <c r="P29" s="141" t="s">
        <v>81</v>
      </c>
      <c r="Q29" s="211" t="s">
        <v>110</v>
      </c>
      <c r="R29" s="104"/>
      <c r="S29" s="105"/>
      <c r="T29" s="121" t="e">
        <f t="shared" si="5"/>
        <v>#DIV/0!</v>
      </c>
      <c r="U29" s="213" t="s">
        <v>110</v>
      </c>
      <c r="V29" s="110"/>
      <c r="W29" s="111"/>
      <c r="X29" s="124" t="e">
        <f t="shared" si="6"/>
        <v>#DIV/0!</v>
      </c>
      <c r="Y29" s="215" t="s">
        <v>110</v>
      </c>
      <c r="Z29" s="116"/>
      <c r="AA29" s="117"/>
      <c r="AB29" s="127" t="e">
        <f t="shared" si="7"/>
        <v>#DIV/0!</v>
      </c>
      <c r="AC29" s="217" t="s">
        <v>110</v>
      </c>
      <c r="AD29" s="134"/>
      <c r="AE29" s="135"/>
      <c r="AF29" s="130" t="e">
        <f t="shared" si="8"/>
        <v>#DIV/0!</v>
      </c>
    </row>
    <row r="30" spans="1:32" ht="15" customHeight="1" thickBot="1" x14ac:dyDescent="0.4">
      <c r="A30" s="567"/>
      <c r="B30" s="143" t="s">
        <v>82</v>
      </c>
      <c r="C30" s="106"/>
      <c r="D30" s="107"/>
      <c r="E30" s="122" t="e">
        <f t="shared" si="1"/>
        <v>#DIV/0!</v>
      </c>
      <c r="F30" s="112"/>
      <c r="G30" s="113"/>
      <c r="H30" s="125" t="e">
        <f t="shared" si="2"/>
        <v>#DIV/0!</v>
      </c>
      <c r="I30" s="118"/>
      <c r="J30" s="119"/>
      <c r="K30" s="128" t="e">
        <f t="shared" si="3"/>
        <v>#DIV/0!</v>
      </c>
      <c r="L30" s="136"/>
      <c r="M30" s="137"/>
      <c r="N30" s="131" t="e">
        <f t="shared" si="4"/>
        <v>#DIV/0!</v>
      </c>
      <c r="O30" s="567"/>
      <c r="P30" s="143" t="s">
        <v>82</v>
      </c>
      <c r="Q30" s="219"/>
      <c r="R30" s="106"/>
      <c r="S30" s="107"/>
      <c r="T30" s="122" t="e">
        <f t="shared" si="5"/>
        <v>#DIV/0!</v>
      </c>
      <c r="U30" s="220"/>
      <c r="V30" s="112"/>
      <c r="W30" s="113"/>
      <c r="X30" s="125" t="e">
        <f t="shared" si="6"/>
        <v>#DIV/0!</v>
      </c>
      <c r="Y30" s="223"/>
      <c r="Z30" s="118"/>
      <c r="AA30" s="119"/>
      <c r="AB30" s="128" t="e">
        <f t="shared" si="7"/>
        <v>#DIV/0!</v>
      </c>
      <c r="AC30" s="224"/>
      <c r="AD30" s="136"/>
      <c r="AE30" s="137"/>
      <c r="AF30" s="131" t="e">
        <f t="shared" si="8"/>
        <v>#DIV/0!</v>
      </c>
    </row>
    <row r="31" spans="1:32" x14ac:dyDescent="0.35">
      <c r="D31" t="s">
        <v>108</v>
      </c>
      <c r="E31" s="121" cm="1">
        <f t="array" ref="E31">AVERAGE(ABS(E3:E26))</f>
        <v>0.15170884130970821</v>
      </c>
      <c r="G31" t="s">
        <v>108</v>
      </c>
      <c r="H31" s="124" cm="1">
        <f t="array" ref="H31">AVERAGE(ABS(H3:H26))</f>
        <v>4.6677573459635878E-2</v>
      </c>
      <c r="J31" t="s">
        <v>108</v>
      </c>
      <c r="K31" s="127" cm="1">
        <f t="array" ref="K31">AVERAGE(ABS(K3:K26))</f>
        <v>3.343376420297605E-2</v>
      </c>
      <c r="M31" t="s">
        <v>108</v>
      </c>
      <c r="N31" s="130" cm="1">
        <f t="array" ref="N31">AVERAGE(ABS(N3:N26))</f>
        <v>1.5679260351739922E-2</v>
      </c>
      <c r="S31" t="s">
        <v>108</v>
      </c>
      <c r="T31" s="121" cm="1">
        <f t="array" ref="T31">AVERAGE(ABS(T3:T26))</f>
        <v>1.030005631985802</v>
      </c>
      <c r="W31" t="s">
        <v>108</v>
      </c>
      <c r="X31" s="124" cm="1">
        <f t="array" ref="X31">AVERAGE(ABS(X3:X26))</f>
        <v>0.1301122092205223</v>
      </c>
      <c r="AA31" t="s">
        <v>108</v>
      </c>
      <c r="AB31" s="127" cm="1">
        <f t="array" ref="AB31">AVERAGE(ABS(AB3:AB26))</f>
        <v>0.11818648800486893</v>
      </c>
      <c r="AE31" t="s">
        <v>108</v>
      </c>
      <c r="AF31" s="130" cm="1">
        <f t="array" ref="AF31">AVERAGE(ABS(AF3:AF26))</f>
        <v>5.4849916493526697E-2</v>
      </c>
    </row>
    <row r="32" spans="1:32" x14ac:dyDescent="0.35">
      <c r="Q32" t="s">
        <v>35</v>
      </c>
      <c r="U32" t="s">
        <v>36</v>
      </c>
      <c r="Y32" t="s">
        <v>38</v>
      </c>
      <c r="AC32" t="s">
        <v>39</v>
      </c>
    </row>
    <row r="33" spans="16:29" x14ac:dyDescent="0.35">
      <c r="P33" s="242" t="s">
        <v>204</v>
      </c>
      <c r="Q33" s="386">
        <f>AVERAGE(Q4,Q8,Q12,Q16,Q20,Q24)</f>
        <v>2.9218333333333331E-3</v>
      </c>
      <c r="T33" s="242" t="s">
        <v>204</v>
      </c>
      <c r="U33" s="386">
        <f>AVERAGE(U4,U8,U12,U16,U20,U24)</f>
        <v>1.3083333333333336E-4</v>
      </c>
      <c r="X33" s="242" t="s">
        <v>204</v>
      </c>
      <c r="Y33" s="386">
        <f>AVERAGE(Y4,Y8,Y12,Y16,Y20,Y24)</f>
        <v>2.3383333333333332E-4</v>
      </c>
      <c r="AB33" s="242" t="s">
        <v>204</v>
      </c>
      <c r="AC33" s="386">
        <f>AVERAGE(AC4,AC8,AC12,AC16,AC20,AC24)</f>
        <v>1.0333333333333332E-5</v>
      </c>
    </row>
    <row r="34" spans="16:29" x14ac:dyDescent="0.35">
      <c r="P34" s="242" t="s">
        <v>205</v>
      </c>
      <c r="Q34" s="386">
        <f>AVERAGE(Q6,Q10,Q14,Q18,Q22,Q26)</f>
        <v>6.4662833333333336E-2</v>
      </c>
      <c r="T34" s="242" t="s">
        <v>205</v>
      </c>
      <c r="U34" s="386">
        <f>AVERAGE(U6,U10,U14,U18,U22,U26)</f>
        <v>1.0234333333333333E-2</v>
      </c>
      <c r="X34" s="242" t="s">
        <v>205</v>
      </c>
      <c r="Y34" s="386">
        <f>AVERAGE(Y6,Y10,Y14,Y18,Y22,Y26)</f>
        <v>9.1216666666666668E-3</v>
      </c>
      <c r="AB34" s="242" t="s">
        <v>205</v>
      </c>
      <c r="AC34" s="386">
        <f>AVERAGE(AC6,AC10,AC14,AC18,AC22,AC26)</f>
        <v>5.0373333333333338E-3</v>
      </c>
    </row>
    <row r="35" spans="16:29" x14ac:dyDescent="0.35">
      <c r="P35" s="242" t="s">
        <v>206</v>
      </c>
      <c r="Q35">
        <f>Q34/Q33</f>
        <v>22.13091095773202</v>
      </c>
      <c r="T35" s="242" t="s">
        <v>206</v>
      </c>
      <c r="U35">
        <f>U34/U33</f>
        <v>78.224203821656033</v>
      </c>
      <c r="X35" s="242" t="s">
        <v>206</v>
      </c>
      <c r="Y35">
        <f>Y34/Y33</f>
        <v>39.009265858873846</v>
      </c>
      <c r="AB35" s="242" t="s">
        <v>206</v>
      </c>
      <c r="AC35">
        <f>AC34/AC33</f>
        <v>487.48387096774206</v>
      </c>
    </row>
  </sheetData>
  <mergeCells count="27">
    <mergeCell ref="AH2:AL2"/>
    <mergeCell ref="U1:X1"/>
    <mergeCell ref="Y1:AB1"/>
    <mergeCell ref="AC1:AF1"/>
    <mergeCell ref="O2:P2"/>
    <mergeCell ref="O1:P1"/>
    <mergeCell ref="A23:A26"/>
    <mergeCell ref="A19:A22"/>
    <mergeCell ref="A27:A30"/>
    <mergeCell ref="O3:O6"/>
    <mergeCell ref="Q1:T1"/>
    <mergeCell ref="O11:O14"/>
    <mergeCell ref="O7:O10"/>
    <mergeCell ref="O19:O22"/>
    <mergeCell ref="O15:O18"/>
    <mergeCell ref="O27:O30"/>
    <mergeCell ref="O23:O26"/>
    <mergeCell ref="L1:N1"/>
    <mergeCell ref="A7:A10"/>
    <mergeCell ref="A3:A6"/>
    <mergeCell ref="A15:A18"/>
    <mergeCell ref="A11:A14"/>
    <mergeCell ref="A2:B2"/>
    <mergeCell ref="A1:B1"/>
    <mergeCell ref="C1:E1"/>
    <mergeCell ref="F1:H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9917-06D9-4C7A-9E6D-A3082C65B7AC}">
  <sheetPr>
    <tabColor rgb="FFFF0000"/>
  </sheetPr>
  <dimension ref="A1:AX31"/>
  <sheetViews>
    <sheetView topLeftCell="G14" zoomScale="70" zoomScaleNormal="70" workbookViewId="0">
      <selection activeCell="AO45" sqref="AO45"/>
    </sheetView>
  </sheetViews>
  <sheetFormatPr defaultRowHeight="14.5" x14ac:dyDescent="0.35"/>
  <cols>
    <col min="1" max="1" width="8.81640625" style="91" bestFit="1" customWidth="1"/>
    <col min="2" max="2" width="16.26953125" style="91" customWidth="1"/>
    <col min="3" max="3" width="8.7265625" style="91"/>
    <col min="4" max="4" width="9.26953125" style="91" bestFit="1" customWidth="1"/>
    <col min="5" max="5" width="9.453125" style="91" bestFit="1" customWidth="1"/>
    <col min="6" max="6" width="9.36328125" style="91" bestFit="1" customWidth="1"/>
    <col min="7" max="8" width="8.7265625" style="91"/>
    <col min="9" max="9" width="8.81640625" style="91" bestFit="1" customWidth="1"/>
    <col min="10" max="10" width="9.36328125" style="91" bestFit="1" customWidth="1"/>
    <col min="11" max="12" width="8.7265625" style="91"/>
    <col min="13" max="13" width="8.81640625" style="91" bestFit="1" customWidth="1"/>
    <col min="14" max="14" width="9.36328125" style="91" bestFit="1" customWidth="1"/>
    <col min="15" max="15" width="8.7265625" style="91"/>
    <col min="16" max="16" width="8.81640625" style="91" bestFit="1" customWidth="1"/>
    <col min="17" max="17" width="8.90625" style="91" bestFit="1" customWidth="1"/>
    <col min="18" max="18" width="9.36328125" style="91" bestFit="1" customWidth="1"/>
    <col min="19" max="19" width="8.90625" style="91" bestFit="1" customWidth="1"/>
    <col min="20" max="20" width="13.26953125" style="91" customWidth="1"/>
    <col min="21" max="21" width="8.7265625" style="91"/>
    <col min="22" max="22" width="11.81640625" style="91" customWidth="1"/>
    <col min="23" max="23" width="11.6328125" style="91" customWidth="1"/>
    <col min="24" max="24" width="10.81640625" style="91" customWidth="1"/>
    <col min="25" max="25" width="10.81640625" style="91" bestFit="1" customWidth="1"/>
    <col min="26" max="26" width="11.1796875" style="91" bestFit="1" customWidth="1"/>
    <col min="27" max="27" width="8.7265625" style="91"/>
    <col min="28" max="28" width="11.81640625" style="91" customWidth="1"/>
    <col min="29" max="29" width="13.1796875" style="91" customWidth="1"/>
    <col min="30" max="30" width="9.90625" style="91" customWidth="1"/>
    <col min="31" max="31" width="8.90625" style="91" bestFit="1" customWidth="1"/>
    <col min="32" max="32" width="11.08984375" style="91" bestFit="1" customWidth="1"/>
    <col min="33" max="33" width="8.7265625" style="91"/>
    <col min="34" max="34" width="12.36328125" style="91" customWidth="1"/>
    <col min="35" max="35" width="12" style="91" customWidth="1"/>
    <col min="36" max="36" width="9.7265625" style="91" customWidth="1"/>
    <col min="37" max="37" width="8.90625" style="91" bestFit="1" customWidth="1"/>
    <col min="38" max="38" width="11.08984375" style="91" bestFit="1" customWidth="1"/>
    <col min="39" max="39" width="8.7265625" style="91"/>
    <col min="40" max="40" width="13.7265625" style="91" customWidth="1"/>
    <col min="41" max="41" width="12.6328125" style="91" customWidth="1"/>
    <col min="42" max="42" width="9.90625" style="91" customWidth="1"/>
    <col min="43" max="43" width="8.81640625" style="91" bestFit="1" customWidth="1"/>
    <col min="44" max="44" width="10.7265625" style="91" customWidth="1"/>
    <col min="45" max="45" width="8.7265625" style="91"/>
    <col min="46" max="46" width="20.08984375" style="91" customWidth="1"/>
    <col min="47" max="47" width="12.81640625" style="91" customWidth="1"/>
    <col min="48" max="48" width="12.1796875" style="91" customWidth="1"/>
    <col min="49" max="49" width="12.54296875" style="91" customWidth="1"/>
    <col min="50" max="50" width="11.453125" style="91" customWidth="1"/>
    <col min="51" max="16384" width="8.7265625" style="91"/>
  </cols>
  <sheetData>
    <row r="1" spans="1:50" ht="15" thickBot="1" x14ac:dyDescent="0.4">
      <c r="A1" s="491" t="s">
        <v>85</v>
      </c>
      <c r="B1" s="492"/>
      <c r="C1" s="548" t="s">
        <v>35</v>
      </c>
      <c r="D1" s="550"/>
      <c r="E1" s="550"/>
      <c r="F1" s="551"/>
      <c r="G1" s="469" t="s">
        <v>36</v>
      </c>
      <c r="H1" s="471"/>
      <c r="I1" s="471"/>
      <c r="J1" s="472"/>
      <c r="K1" s="473" t="s">
        <v>38</v>
      </c>
      <c r="L1" s="475"/>
      <c r="M1" s="475"/>
      <c r="N1" s="476"/>
      <c r="O1" s="477" t="s">
        <v>39</v>
      </c>
      <c r="P1" s="479"/>
      <c r="Q1" s="479"/>
      <c r="R1" s="480"/>
      <c r="S1" s="491" t="s">
        <v>86</v>
      </c>
      <c r="T1" s="492"/>
      <c r="U1" s="548" t="s">
        <v>35</v>
      </c>
      <c r="V1" s="549"/>
      <c r="W1" s="549"/>
      <c r="X1" s="550"/>
      <c r="Y1" s="550"/>
      <c r="Z1" s="551"/>
      <c r="AA1" s="469" t="s">
        <v>36</v>
      </c>
      <c r="AB1" s="470"/>
      <c r="AC1" s="470"/>
      <c r="AD1" s="471"/>
      <c r="AE1" s="471"/>
      <c r="AF1" s="472"/>
      <c r="AG1" s="473" t="s">
        <v>38</v>
      </c>
      <c r="AH1" s="474"/>
      <c r="AI1" s="474"/>
      <c r="AJ1" s="475"/>
      <c r="AK1" s="475"/>
      <c r="AL1" s="476"/>
      <c r="AM1" s="477" t="s">
        <v>39</v>
      </c>
      <c r="AN1" s="478"/>
      <c r="AO1" s="478"/>
      <c r="AP1" s="479"/>
      <c r="AQ1" s="479"/>
      <c r="AR1" s="480"/>
      <c r="AU1" s="491" t="s">
        <v>95</v>
      </c>
      <c r="AV1" s="492"/>
    </row>
    <row r="2" spans="1:50" ht="15" thickBot="1" x14ac:dyDescent="0.4">
      <c r="A2" s="481" t="s">
        <v>54</v>
      </c>
      <c r="B2" s="482"/>
      <c r="C2" s="92" t="s">
        <v>53</v>
      </c>
      <c r="D2" s="93" t="s">
        <v>1</v>
      </c>
      <c r="E2" s="94" t="s">
        <v>8</v>
      </c>
      <c r="F2" s="95" t="s">
        <v>10</v>
      </c>
      <c r="G2" s="96" t="s">
        <v>53</v>
      </c>
      <c r="H2" s="97" t="s">
        <v>1</v>
      </c>
      <c r="I2" s="96" t="s">
        <v>8</v>
      </c>
      <c r="J2" s="97" t="s">
        <v>10</v>
      </c>
      <c r="K2" s="98" t="s">
        <v>53</v>
      </c>
      <c r="L2" s="99" t="s">
        <v>1</v>
      </c>
      <c r="M2" s="98" t="s">
        <v>8</v>
      </c>
      <c r="N2" s="99" t="s">
        <v>10</v>
      </c>
      <c r="O2" s="100" t="s">
        <v>53</v>
      </c>
      <c r="P2" s="101" t="s">
        <v>1</v>
      </c>
      <c r="Q2" s="100" t="s">
        <v>8</v>
      </c>
      <c r="R2" s="101" t="s">
        <v>10</v>
      </c>
      <c r="S2" s="481" t="s">
        <v>54</v>
      </c>
      <c r="T2" s="482"/>
      <c r="U2" s="95" t="s">
        <v>53</v>
      </c>
      <c r="V2" s="556" t="s">
        <v>87</v>
      </c>
      <c r="W2" s="557"/>
      <c r="X2" s="93" t="s">
        <v>1</v>
      </c>
      <c r="Y2" s="94" t="s">
        <v>8</v>
      </c>
      <c r="Z2" s="95" t="s">
        <v>10</v>
      </c>
      <c r="AA2" s="97" t="s">
        <v>53</v>
      </c>
      <c r="AB2" s="558" t="s">
        <v>87</v>
      </c>
      <c r="AC2" s="559"/>
      <c r="AD2" s="97" t="s">
        <v>1</v>
      </c>
      <c r="AE2" s="96" t="s">
        <v>8</v>
      </c>
      <c r="AF2" s="97" t="s">
        <v>10</v>
      </c>
      <c r="AG2" s="99" t="s">
        <v>53</v>
      </c>
      <c r="AH2" s="560" t="s">
        <v>87</v>
      </c>
      <c r="AI2" s="561"/>
      <c r="AJ2" s="99" t="s">
        <v>1</v>
      </c>
      <c r="AK2" s="98" t="s">
        <v>8</v>
      </c>
      <c r="AL2" s="99" t="s">
        <v>10</v>
      </c>
      <c r="AM2" s="101" t="s">
        <v>53</v>
      </c>
      <c r="AN2" s="562" t="s">
        <v>87</v>
      </c>
      <c r="AO2" s="563"/>
      <c r="AP2" s="101" t="s">
        <v>1</v>
      </c>
      <c r="AQ2" s="100" t="s">
        <v>8</v>
      </c>
      <c r="AR2" s="101" t="s">
        <v>10</v>
      </c>
      <c r="AU2" s="491" t="s">
        <v>87</v>
      </c>
      <c r="AV2" s="492"/>
    </row>
    <row r="3" spans="1:50" x14ac:dyDescent="0.35">
      <c r="A3" s="545">
        <v>2020</v>
      </c>
      <c r="B3" s="168" t="s">
        <v>55</v>
      </c>
      <c r="C3" s="564" t="s">
        <v>83</v>
      </c>
      <c r="D3" s="102">
        <v>9391.84</v>
      </c>
      <c r="E3" s="103">
        <v>6638.5</v>
      </c>
      <c r="F3" s="120">
        <f>(D3-E3)/E3</f>
        <v>0.41475333283121191</v>
      </c>
      <c r="G3" s="568" t="s">
        <v>84</v>
      </c>
      <c r="H3" s="108">
        <v>2963.33</v>
      </c>
      <c r="I3" s="109">
        <v>2470.5</v>
      </c>
      <c r="J3" s="123">
        <f>(H3-I3)/I3</f>
        <v>0.19948593402145312</v>
      </c>
      <c r="K3" s="571" t="s">
        <v>84</v>
      </c>
      <c r="L3" s="114">
        <v>1578.39</v>
      </c>
      <c r="M3" s="115">
        <v>1584.1</v>
      </c>
      <c r="N3" s="126">
        <f>(L3-M3)/M3</f>
        <v>-3.604570418534063E-3</v>
      </c>
      <c r="O3" s="574" t="s">
        <v>84</v>
      </c>
      <c r="P3" s="132">
        <v>1.1028</v>
      </c>
      <c r="Q3" s="133">
        <v>1.0962000000000001</v>
      </c>
      <c r="R3" s="129">
        <f>(P3-Q3)/Q3</f>
        <v>6.0207991242473445E-3</v>
      </c>
      <c r="S3" s="545">
        <v>2020</v>
      </c>
      <c r="T3" s="168" t="s">
        <v>55</v>
      </c>
      <c r="U3" s="577" t="s">
        <v>83</v>
      </c>
      <c r="V3" s="162">
        <v>0.83641399999999999</v>
      </c>
      <c r="W3" s="163">
        <v>-0.84614500000000004</v>
      </c>
      <c r="X3" s="102">
        <v>9730.02</v>
      </c>
      <c r="Y3" s="103">
        <v>6638.5</v>
      </c>
      <c r="Z3" s="120">
        <f>(X3-Y3)/Y3</f>
        <v>0.46569556375687288</v>
      </c>
      <c r="AA3" s="580" t="s">
        <v>84</v>
      </c>
      <c r="AB3" s="156">
        <v>-8.0033000000000007E-2</v>
      </c>
      <c r="AC3" s="157">
        <v>0</v>
      </c>
      <c r="AD3" s="108">
        <v>3262.74</v>
      </c>
      <c r="AE3" s="109">
        <v>2470.5</v>
      </c>
      <c r="AF3" s="123">
        <f>(AD3-AE3)/AE3</f>
        <v>0.3206800242865816</v>
      </c>
      <c r="AG3" s="583" t="s">
        <v>84</v>
      </c>
      <c r="AH3" s="150">
        <v>-1.4593999999999999E-2</v>
      </c>
      <c r="AI3" s="151">
        <v>0</v>
      </c>
      <c r="AJ3" s="114">
        <v>1555.7</v>
      </c>
      <c r="AK3" s="115">
        <v>1584.1</v>
      </c>
      <c r="AL3" s="126">
        <f>(AJ3-AK3)/AK3</f>
        <v>-1.7928161100940511E-2</v>
      </c>
      <c r="AM3" s="586" t="s">
        <v>84</v>
      </c>
      <c r="AN3" s="144">
        <v>-1.6071999999999999E-2</v>
      </c>
      <c r="AO3" s="145">
        <v>0</v>
      </c>
      <c r="AP3" s="132">
        <v>1.1222000000000001</v>
      </c>
      <c r="AQ3" s="133">
        <v>1.0962000000000001</v>
      </c>
      <c r="AR3" s="129">
        <f>(AP3-AQ3)/AQ3</f>
        <v>2.3718299580368564E-2</v>
      </c>
      <c r="AU3" s="138" t="s">
        <v>88</v>
      </c>
      <c r="AV3" s="139" t="s">
        <v>92</v>
      </c>
    </row>
    <row r="4" spans="1:50" x14ac:dyDescent="0.35">
      <c r="A4" s="546"/>
      <c r="B4" s="141" t="s">
        <v>56</v>
      </c>
      <c r="C4" s="565"/>
      <c r="D4" s="104">
        <v>11290.93</v>
      </c>
      <c r="E4" s="105">
        <v>9229.9</v>
      </c>
      <c r="F4" s="121">
        <f>(D4-E4)/E4</f>
        <v>0.22329927734861707</v>
      </c>
      <c r="G4" s="569"/>
      <c r="H4" s="110">
        <v>3066.07</v>
      </c>
      <c r="I4" s="111">
        <v>3115.9</v>
      </c>
      <c r="J4" s="124">
        <f>(H4-I4)/I4</f>
        <v>-1.5992169196700767E-2</v>
      </c>
      <c r="K4" s="572"/>
      <c r="L4" s="116">
        <v>1756.52</v>
      </c>
      <c r="M4" s="117">
        <v>1779.9</v>
      </c>
      <c r="N4" s="127">
        <f>(L4-M4)/M4</f>
        <v>-1.3135569414012083E-2</v>
      </c>
      <c r="O4" s="575"/>
      <c r="P4" s="134">
        <v>1.1137999999999999</v>
      </c>
      <c r="Q4" s="135">
        <v>1.125</v>
      </c>
      <c r="R4" s="130">
        <f>(P4-Q4)/Q4</f>
        <v>-9.9555555555556428E-3</v>
      </c>
      <c r="S4" s="546"/>
      <c r="T4" s="141" t="s">
        <v>56</v>
      </c>
      <c r="U4" s="578"/>
      <c r="V4" s="164">
        <v>-0.58754300000000004</v>
      </c>
      <c r="W4" s="165">
        <v>0.42247299999999999</v>
      </c>
      <c r="X4" s="104">
        <v>13061.99</v>
      </c>
      <c r="Y4" s="105">
        <v>9229.9</v>
      </c>
      <c r="Z4" s="121">
        <f>(X4-Y4)/Y4</f>
        <v>0.41518217965525089</v>
      </c>
      <c r="AA4" s="581"/>
      <c r="AB4" s="158">
        <v>0</v>
      </c>
      <c r="AC4" s="159">
        <v>0</v>
      </c>
      <c r="AD4" s="110">
        <v>3295.34</v>
      </c>
      <c r="AE4" s="111">
        <v>3115.9</v>
      </c>
      <c r="AF4" s="124">
        <f>(AD4-AE4)/AE4</f>
        <v>5.7588497705317904E-2</v>
      </c>
      <c r="AG4" s="584"/>
      <c r="AH4" s="152">
        <v>0</v>
      </c>
      <c r="AI4" s="153">
        <v>0</v>
      </c>
      <c r="AJ4" s="116">
        <v>1588.63</v>
      </c>
      <c r="AK4" s="117">
        <v>1779.9</v>
      </c>
      <c r="AL4" s="127">
        <f>(AJ4-AK4)/AK4</f>
        <v>-0.10746109331984942</v>
      </c>
      <c r="AM4" s="587"/>
      <c r="AN4" s="146">
        <v>0</v>
      </c>
      <c r="AO4" s="147">
        <v>0</v>
      </c>
      <c r="AP4" s="134">
        <v>1.1234</v>
      </c>
      <c r="AQ4" s="135">
        <v>1.125</v>
      </c>
      <c r="AR4" s="130">
        <f>(AP4-AQ4)/AQ4</f>
        <v>-1.4222222222222631E-3</v>
      </c>
      <c r="AU4" s="140" t="s">
        <v>89</v>
      </c>
      <c r="AV4" s="141" t="s">
        <v>93</v>
      </c>
    </row>
    <row r="5" spans="1:50" x14ac:dyDescent="0.35">
      <c r="A5" s="546"/>
      <c r="B5" s="141" t="s">
        <v>57</v>
      </c>
      <c r="C5" s="565"/>
      <c r="D5" s="104">
        <v>13131.78</v>
      </c>
      <c r="E5" s="105">
        <v>10620.5</v>
      </c>
      <c r="F5" s="121">
        <f>(D5-E5)/E5</f>
        <v>0.23645591073866584</v>
      </c>
      <c r="G5" s="569"/>
      <c r="H5" s="110">
        <v>3541.19</v>
      </c>
      <c r="I5" s="111">
        <v>3380.8</v>
      </c>
      <c r="J5" s="124">
        <f>(H5-I5)/I5</f>
        <v>4.7441433980123009E-2</v>
      </c>
      <c r="K5" s="572"/>
      <c r="L5" s="116">
        <v>1986.62</v>
      </c>
      <c r="M5" s="117">
        <v>1912.3</v>
      </c>
      <c r="N5" s="127">
        <f>(L5-M5)/M5</f>
        <v>3.8864194948491311E-2</v>
      </c>
      <c r="O5" s="575"/>
      <c r="P5" s="134">
        <v>1.1917</v>
      </c>
      <c r="Q5" s="135">
        <v>1.1747000000000001</v>
      </c>
      <c r="R5" s="130">
        <f>(P5-Q5)/Q5</f>
        <v>1.4471780028943478E-2</v>
      </c>
      <c r="S5" s="546"/>
      <c r="T5" s="141" t="s">
        <v>57</v>
      </c>
      <c r="U5" s="578"/>
      <c r="V5" s="164">
        <v>0.14529800000000001</v>
      </c>
      <c r="W5" s="165">
        <v>0</v>
      </c>
      <c r="X5" s="104">
        <v>17591.79</v>
      </c>
      <c r="Y5" s="105">
        <v>10620.5</v>
      </c>
      <c r="Z5" s="121">
        <f>(X5-Y5)/Y5</f>
        <v>0.65639941622334175</v>
      </c>
      <c r="AA5" s="581"/>
      <c r="AB5" s="158">
        <v>0</v>
      </c>
      <c r="AC5" s="159">
        <v>0</v>
      </c>
      <c r="AD5" s="110">
        <v>3328.62</v>
      </c>
      <c r="AE5" s="111">
        <v>3380.8</v>
      </c>
      <c r="AF5" s="124">
        <f>(AD5-AE5)/AE5</f>
        <v>-1.5434216753431226E-2</v>
      </c>
      <c r="AG5" s="584"/>
      <c r="AH5" s="152">
        <v>0</v>
      </c>
      <c r="AI5" s="153">
        <v>0</v>
      </c>
      <c r="AJ5" s="116">
        <v>1622.64</v>
      </c>
      <c r="AK5" s="117">
        <v>1912.3</v>
      </c>
      <c r="AL5" s="127">
        <f>(AJ5-AK5)/AK5</f>
        <v>-0.15147204936463937</v>
      </c>
      <c r="AM5" s="587"/>
      <c r="AN5" s="146">
        <v>0</v>
      </c>
      <c r="AO5" s="147">
        <v>0</v>
      </c>
      <c r="AP5" s="134">
        <v>1.1247</v>
      </c>
      <c r="AQ5" s="135">
        <v>1.1747000000000001</v>
      </c>
      <c r="AR5" s="130">
        <f>(AP5-AQ5)/AQ5</f>
        <v>-4.2564058908657568E-2</v>
      </c>
      <c r="AU5" s="140" t="s">
        <v>90</v>
      </c>
      <c r="AV5" s="141" t="s">
        <v>94</v>
      </c>
    </row>
    <row r="6" spans="1:50" ht="15" thickBot="1" x14ac:dyDescent="0.4">
      <c r="A6" s="547"/>
      <c r="B6" s="141" t="s">
        <v>58</v>
      </c>
      <c r="C6" s="566"/>
      <c r="D6" s="106">
        <v>20641.349999999999</v>
      </c>
      <c r="E6" s="107">
        <v>29359.9</v>
      </c>
      <c r="F6" s="122">
        <f>(D6-E6)/E6</f>
        <v>-0.29695434929955494</v>
      </c>
      <c r="G6" s="570"/>
      <c r="H6" s="112">
        <v>3678.92</v>
      </c>
      <c r="I6" s="113">
        <v>3756.1</v>
      </c>
      <c r="J6" s="125">
        <f>(H6-I6)/I6</f>
        <v>-2.0547908735124156E-2</v>
      </c>
      <c r="K6" s="573"/>
      <c r="L6" s="118">
        <v>1830.74</v>
      </c>
      <c r="M6" s="119">
        <v>1895.1</v>
      </c>
      <c r="N6" s="128">
        <f>(L6-M6)/M6</f>
        <v>-3.3961268534641917E-2</v>
      </c>
      <c r="O6" s="576"/>
      <c r="P6" s="136">
        <v>1.2078</v>
      </c>
      <c r="Q6" s="137">
        <v>1.2213000000000001</v>
      </c>
      <c r="R6" s="131">
        <f>(P6-Q6)/Q6</f>
        <v>-1.1053795136330195E-2</v>
      </c>
      <c r="S6" s="547"/>
      <c r="T6" s="141" t="s">
        <v>58</v>
      </c>
      <c r="U6" s="579"/>
      <c r="V6" s="166">
        <v>3.2360000000000002E-3</v>
      </c>
      <c r="W6" s="167">
        <v>4.6369999999999996E-3</v>
      </c>
      <c r="X6" s="106">
        <v>23692.5</v>
      </c>
      <c r="Y6" s="107">
        <v>29359.9</v>
      </c>
      <c r="Z6" s="122">
        <f>(X6-Y6)/Y6</f>
        <v>-0.19303199261577869</v>
      </c>
      <c r="AA6" s="582"/>
      <c r="AB6" s="160">
        <v>1.0900000000000001E-4</v>
      </c>
      <c r="AC6" s="161">
        <v>9.7E-5</v>
      </c>
      <c r="AD6" s="112">
        <v>3362.24</v>
      </c>
      <c r="AE6" s="113">
        <v>3756.1</v>
      </c>
      <c r="AF6" s="125">
        <f>(AD6-AE6)/AE6</f>
        <v>-0.10485876307872531</v>
      </c>
      <c r="AG6" s="585"/>
      <c r="AH6" s="154">
        <v>2.3000000000000001E-4</v>
      </c>
      <c r="AI6" s="155">
        <v>8.2999999999999998E-5</v>
      </c>
      <c r="AJ6" s="118">
        <v>1657.37</v>
      </c>
      <c r="AK6" s="119">
        <v>1895.1</v>
      </c>
      <c r="AL6" s="128">
        <f>(AJ6-AK6)/AK6</f>
        <v>-0.12544456756899375</v>
      </c>
      <c r="AM6" s="588"/>
      <c r="AN6" s="148">
        <v>1.2E-5</v>
      </c>
      <c r="AO6" s="149">
        <v>2.5999999999999998E-5</v>
      </c>
      <c r="AP6" s="136">
        <v>1.1258999999999999</v>
      </c>
      <c r="AQ6" s="137">
        <v>1.2213000000000001</v>
      </c>
      <c r="AR6" s="131">
        <f>(AP6-AQ6)/AQ6</f>
        <v>-7.811348563006644E-2</v>
      </c>
      <c r="AU6" s="142" t="s">
        <v>91</v>
      </c>
      <c r="AV6" s="143" t="s">
        <v>96</v>
      </c>
    </row>
    <row r="7" spans="1:50" ht="15" thickBot="1" x14ac:dyDescent="0.4">
      <c r="A7" s="545">
        <v>2021</v>
      </c>
      <c r="B7" s="168" t="s">
        <v>59</v>
      </c>
      <c r="C7" s="564" t="s">
        <v>83</v>
      </c>
      <c r="D7" s="102">
        <v>55013.8</v>
      </c>
      <c r="E7" s="103">
        <v>58718.3</v>
      </c>
      <c r="F7" s="120">
        <f t="shared" ref="F7:F30" si="0">(D7-E7)/E7</f>
        <v>-6.3089360557100599E-2</v>
      </c>
      <c r="G7" s="568" t="s">
        <v>84</v>
      </c>
      <c r="H7" s="108">
        <v>3917.18</v>
      </c>
      <c r="I7" s="109">
        <v>4019.9</v>
      </c>
      <c r="J7" s="123">
        <f t="shared" ref="J7:J30" si="1">(H7-I7)/I7</f>
        <v>-2.5552874449613239E-2</v>
      </c>
      <c r="K7" s="571" t="s">
        <v>84</v>
      </c>
      <c r="L7" s="114">
        <v>1735.9</v>
      </c>
      <c r="M7" s="115">
        <v>1727.3</v>
      </c>
      <c r="N7" s="126">
        <f t="shared" ref="N7:N30" si="2">(L7-M7)/M7</f>
        <v>4.9788687547039521E-3</v>
      </c>
      <c r="O7" s="574" t="s">
        <v>84</v>
      </c>
      <c r="P7" s="132">
        <v>1.2055</v>
      </c>
      <c r="Q7" s="133">
        <v>1.1775</v>
      </c>
      <c r="R7" s="129">
        <f t="shared" ref="R7:R30" si="3">(P7-Q7)/Q7</f>
        <v>2.3779193205944821E-2</v>
      </c>
      <c r="S7" s="545">
        <v>2021</v>
      </c>
      <c r="T7" s="168" t="s">
        <v>59</v>
      </c>
      <c r="U7" s="577" t="s">
        <v>83</v>
      </c>
      <c r="V7" s="162">
        <v>0.83153600000000005</v>
      </c>
      <c r="W7" s="163">
        <v>-0.84875100000000003</v>
      </c>
      <c r="X7" s="102">
        <v>39029.660000000003</v>
      </c>
      <c r="Y7" s="103">
        <v>58718.3</v>
      </c>
      <c r="Z7" s="120">
        <f t="shared" ref="Z7:Z30" si="4">(X7-Y7)/Y7</f>
        <v>-0.33530671017382996</v>
      </c>
      <c r="AA7" s="580" t="s">
        <v>84</v>
      </c>
      <c r="AB7" s="156">
        <v>-0.10562000000000001</v>
      </c>
      <c r="AC7" s="157">
        <v>0</v>
      </c>
      <c r="AD7" s="108">
        <v>3796.32</v>
      </c>
      <c r="AE7" s="109">
        <v>4019.9</v>
      </c>
      <c r="AF7" s="123">
        <f t="shared" ref="AF7:AF30" si="5">(AD7-AE7)/AE7</f>
        <v>-5.5618298962660746E-2</v>
      </c>
      <c r="AG7" s="583" t="s">
        <v>84</v>
      </c>
      <c r="AH7" s="150">
        <v>-1.2926E-2</v>
      </c>
      <c r="AI7" s="151">
        <v>0</v>
      </c>
      <c r="AJ7" s="114">
        <v>1938.29</v>
      </c>
      <c r="AK7" s="115">
        <v>1727.3</v>
      </c>
      <c r="AL7" s="126">
        <f t="shared" ref="AL7:AL30" si="6">(AJ7-AK7)/AK7</f>
        <v>0.12215017657615933</v>
      </c>
      <c r="AM7" s="586" t="s">
        <v>84</v>
      </c>
      <c r="AN7" s="144">
        <v>-1.2011000000000001E-2</v>
      </c>
      <c r="AO7" s="145">
        <v>0</v>
      </c>
      <c r="AP7" s="132">
        <v>1.2239</v>
      </c>
      <c r="AQ7" s="133">
        <v>1.1775</v>
      </c>
      <c r="AR7" s="129">
        <f t="shared" ref="AR7:AR30" si="7">(AP7-AQ7)/AQ7</f>
        <v>3.9405520169851375E-2</v>
      </c>
    </row>
    <row r="8" spans="1:50" ht="15" thickBot="1" x14ac:dyDescent="0.4">
      <c r="A8" s="546"/>
      <c r="B8" s="141" t="s">
        <v>60</v>
      </c>
      <c r="C8" s="565"/>
      <c r="D8" s="104">
        <v>39736.269999999997</v>
      </c>
      <c r="E8" s="105">
        <v>33543.599999999999</v>
      </c>
      <c r="F8" s="121">
        <f t="shared" si="0"/>
        <v>0.18461554514124895</v>
      </c>
      <c r="G8" s="569"/>
      <c r="H8" s="110">
        <v>4218.92</v>
      </c>
      <c r="I8" s="111">
        <v>4319.8999999999996</v>
      </c>
      <c r="J8" s="124">
        <f t="shared" si="1"/>
        <v>-2.337554110048834E-2</v>
      </c>
      <c r="K8" s="572"/>
      <c r="L8" s="116">
        <v>1918.05</v>
      </c>
      <c r="M8" s="117">
        <v>1776.8</v>
      </c>
      <c r="N8" s="127">
        <f t="shared" si="2"/>
        <v>7.9496848266546599E-2</v>
      </c>
      <c r="O8" s="575"/>
      <c r="P8" s="134">
        <v>1.2219</v>
      </c>
      <c r="Q8" s="135">
        <v>1.1848000000000001</v>
      </c>
      <c r="R8" s="130">
        <f t="shared" si="3"/>
        <v>3.1313301823092429E-2</v>
      </c>
      <c r="S8" s="546"/>
      <c r="T8" s="141" t="s">
        <v>60</v>
      </c>
      <c r="U8" s="578"/>
      <c r="V8" s="164">
        <v>-0.59722500000000001</v>
      </c>
      <c r="W8" s="165">
        <v>0.447378</v>
      </c>
      <c r="X8" s="104">
        <v>52653.22</v>
      </c>
      <c r="Y8" s="105">
        <v>33543.599999999999</v>
      </c>
      <c r="Z8" s="121">
        <f t="shared" si="4"/>
        <v>0.56969496416604071</v>
      </c>
      <c r="AA8" s="581"/>
      <c r="AB8" s="158">
        <v>0</v>
      </c>
      <c r="AC8" s="159">
        <v>0</v>
      </c>
      <c r="AD8" s="110">
        <v>3839.28</v>
      </c>
      <c r="AE8" s="111">
        <v>4319.8999999999996</v>
      </c>
      <c r="AF8" s="124">
        <f t="shared" si="5"/>
        <v>-0.11125720502789405</v>
      </c>
      <c r="AG8" s="584"/>
      <c r="AH8" s="152">
        <v>0</v>
      </c>
      <c r="AI8" s="153">
        <v>0</v>
      </c>
      <c r="AJ8" s="116">
        <v>1982.47</v>
      </c>
      <c r="AK8" s="117">
        <v>1776.8</v>
      </c>
      <c r="AL8" s="127">
        <f t="shared" si="6"/>
        <v>0.11575303917154439</v>
      </c>
      <c r="AM8" s="587"/>
      <c r="AN8" s="146">
        <v>0</v>
      </c>
      <c r="AO8" s="147">
        <v>0</v>
      </c>
      <c r="AP8" s="134">
        <v>1.2263999999999999</v>
      </c>
      <c r="AQ8" s="135">
        <v>1.1848000000000001</v>
      </c>
      <c r="AR8" s="130">
        <f t="shared" si="7"/>
        <v>3.5111411208642689E-2</v>
      </c>
      <c r="AT8" s="507" t="s">
        <v>97</v>
      </c>
      <c r="AU8" s="508"/>
      <c r="AV8" s="508"/>
      <c r="AW8" s="508"/>
      <c r="AX8" s="509"/>
    </row>
    <row r="9" spans="1:50" ht="15" thickBot="1" x14ac:dyDescent="0.4">
      <c r="A9" s="546"/>
      <c r="B9" s="141" t="s">
        <v>61</v>
      </c>
      <c r="C9" s="565"/>
      <c r="D9" s="104">
        <v>54077.78</v>
      </c>
      <c r="E9" s="105">
        <v>48146</v>
      </c>
      <c r="F9" s="121">
        <f t="shared" si="0"/>
        <v>0.12320400448635398</v>
      </c>
      <c r="G9" s="569"/>
      <c r="H9" s="110">
        <v>4543.91</v>
      </c>
      <c r="I9" s="111">
        <v>4357</v>
      </c>
      <c r="J9" s="124">
        <f t="shared" si="1"/>
        <v>4.2898783566674287E-2</v>
      </c>
      <c r="K9" s="572"/>
      <c r="L9" s="116">
        <v>1826.88</v>
      </c>
      <c r="M9" s="117">
        <v>1757.7</v>
      </c>
      <c r="N9" s="127">
        <f t="shared" si="2"/>
        <v>3.9358252261478106E-2</v>
      </c>
      <c r="O9" s="575"/>
      <c r="P9" s="134">
        <v>1.1843999999999999</v>
      </c>
      <c r="Q9" s="135">
        <v>1.1594</v>
      </c>
      <c r="R9" s="130">
        <f t="shared" si="3"/>
        <v>2.1562877350353556E-2</v>
      </c>
      <c r="S9" s="546"/>
      <c r="T9" s="141" t="s">
        <v>61</v>
      </c>
      <c r="U9" s="578"/>
      <c r="V9" s="164">
        <v>0.13331100000000001</v>
      </c>
      <c r="W9" s="165">
        <v>0</v>
      </c>
      <c r="X9" s="104">
        <v>71266.28</v>
      </c>
      <c r="Y9" s="105">
        <v>48146</v>
      </c>
      <c r="Z9" s="121">
        <f t="shared" si="4"/>
        <v>0.48021185560586549</v>
      </c>
      <c r="AA9" s="581"/>
      <c r="AB9" s="158">
        <v>0</v>
      </c>
      <c r="AC9" s="159">
        <v>0</v>
      </c>
      <c r="AD9" s="110">
        <v>3883.21</v>
      </c>
      <c r="AE9" s="111">
        <v>4357</v>
      </c>
      <c r="AF9" s="124">
        <f t="shared" si="5"/>
        <v>-0.10874225384438833</v>
      </c>
      <c r="AG9" s="584"/>
      <c r="AH9" s="152">
        <v>0</v>
      </c>
      <c r="AI9" s="153">
        <v>0</v>
      </c>
      <c r="AJ9" s="116">
        <v>2028.17</v>
      </c>
      <c r="AK9" s="117">
        <v>1757.7</v>
      </c>
      <c r="AL9" s="127">
        <f t="shared" si="6"/>
        <v>0.15387722592023667</v>
      </c>
      <c r="AM9" s="587"/>
      <c r="AN9" s="146">
        <v>0</v>
      </c>
      <c r="AO9" s="147">
        <v>0</v>
      </c>
      <c r="AP9" s="134">
        <v>1.2290000000000001</v>
      </c>
      <c r="AQ9" s="135">
        <v>1.1594</v>
      </c>
      <c r="AR9" s="130">
        <f t="shared" si="7"/>
        <v>6.0031050543384604E-2</v>
      </c>
      <c r="AT9" s="203" t="s">
        <v>98</v>
      </c>
      <c r="AU9" s="204" t="s">
        <v>35</v>
      </c>
      <c r="AV9" s="205" t="s">
        <v>36</v>
      </c>
      <c r="AW9" s="206" t="s">
        <v>38</v>
      </c>
      <c r="AX9" s="207" t="s">
        <v>39</v>
      </c>
    </row>
    <row r="10" spans="1:50" ht="15" thickBot="1" x14ac:dyDescent="0.4">
      <c r="A10" s="546"/>
      <c r="B10" s="141" t="s">
        <v>62</v>
      </c>
      <c r="C10" s="566"/>
      <c r="D10" s="106">
        <v>63506.04</v>
      </c>
      <c r="E10" s="107">
        <v>47738</v>
      </c>
      <c r="F10" s="122">
        <f t="shared" si="0"/>
        <v>0.33030374125434664</v>
      </c>
      <c r="G10" s="570"/>
      <c r="H10" s="112">
        <v>4540.7299999999996</v>
      </c>
      <c r="I10" s="113">
        <v>4766.2</v>
      </c>
      <c r="J10" s="125">
        <f t="shared" si="1"/>
        <v>-4.7306029960975257E-2</v>
      </c>
      <c r="K10" s="573"/>
      <c r="L10" s="118">
        <v>1796.12</v>
      </c>
      <c r="M10" s="119">
        <v>1828.6</v>
      </c>
      <c r="N10" s="128">
        <f t="shared" si="2"/>
        <v>-1.7762222465273991E-2</v>
      </c>
      <c r="O10" s="576"/>
      <c r="P10" s="136">
        <v>1.1323000000000001</v>
      </c>
      <c r="Q10" s="137">
        <v>1.1368</v>
      </c>
      <c r="R10" s="131">
        <f t="shared" si="3"/>
        <v>-3.9584799437015735E-3</v>
      </c>
      <c r="S10" s="546"/>
      <c r="T10" s="141" t="s">
        <v>62</v>
      </c>
      <c r="U10" s="579"/>
      <c r="V10" s="166">
        <v>3.29E-3</v>
      </c>
      <c r="W10" s="167">
        <v>4.3689999999999996E-3</v>
      </c>
      <c r="X10" s="106">
        <v>96459.09</v>
      </c>
      <c r="Y10" s="107">
        <v>47738</v>
      </c>
      <c r="Z10" s="122">
        <f t="shared" si="4"/>
        <v>1.0205934475679752</v>
      </c>
      <c r="AA10" s="582"/>
      <c r="AB10" s="160">
        <v>1.2400000000000001E-4</v>
      </c>
      <c r="AC10" s="161">
        <v>1.07E-4</v>
      </c>
      <c r="AD10" s="112">
        <v>3927.64</v>
      </c>
      <c r="AE10" s="113">
        <v>4766.2</v>
      </c>
      <c r="AF10" s="125">
        <f t="shared" si="5"/>
        <v>-0.17593890310939533</v>
      </c>
      <c r="AG10" s="585"/>
      <c r="AH10" s="154">
        <v>2.4800000000000001E-4</v>
      </c>
      <c r="AI10" s="155">
        <v>8.5000000000000006E-5</v>
      </c>
      <c r="AJ10" s="118">
        <v>2074.92</v>
      </c>
      <c r="AK10" s="119">
        <v>1828.6</v>
      </c>
      <c r="AL10" s="128">
        <f t="shared" si="6"/>
        <v>0.13470414524773061</v>
      </c>
      <c r="AM10" s="588"/>
      <c r="AN10" s="148">
        <v>2.3E-5</v>
      </c>
      <c r="AO10" s="149">
        <v>2.5999999999999998E-5</v>
      </c>
      <c r="AP10" s="136">
        <v>1.2316</v>
      </c>
      <c r="AQ10" s="137">
        <v>1.1368</v>
      </c>
      <c r="AR10" s="131">
        <f t="shared" si="7"/>
        <v>8.3391977480647431E-2</v>
      </c>
      <c r="AT10" s="171" t="s">
        <v>99</v>
      </c>
      <c r="AU10" s="173">
        <v>88812.1</v>
      </c>
      <c r="AV10" s="178">
        <v>6845.5</v>
      </c>
      <c r="AW10" s="183">
        <v>4361.55</v>
      </c>
      <c r="AX10" s="188">
        <v>1.1746000000000001</v>
      </c>
    </row>
    <row r="11" spans="1:50" x14ac:dyDescent="0.35">
      <c r="A11" s="545">
        <v>2022</v>
      </c>
      <c r="B11" s="168" t="s">
        <v>63</v>
      </c>
      <c r="C11" s="564" t="s">
        <v>83</v>
      </c>
      <c r="D11" s="102">
        <v>48824.97</v>
      </c>
      <c r="E11" s="103">
        <v>46297</v>
      </c>
      <c r="F11" s="120">
        <f t="shared" si="0"/>
        <v>5.4603322029505179E-2</v>
      </c>
      <c r="G11" s="568" t="s">
        <v>84</v>
      </c>
      <c r="H11" s="108">
        <v>4325.97</v>
      </c>
      <c r="I11" s="109">
        <v>4545.8599999999997</v>
      </c>
      <c r="J11" s="123">
        <f t="shared" si="1"/>
        <v>-4.8371485263514369E-2</v>
      </c>
      <c r="K11" s="571" t="s">
        <v>84</v>
      </c>
      <c r="L11" s="114">
        <v>1958.8</v>
      </c>
      <c r="M11" s="115">
        <v>1951.1</v>
      </c>
      <c r="N11" s="126">
        <f t="shared" si="2"/>
        <v>3.9464917226180339E-3</v>
      </c>
      <c r="O11" s="574" t="s">
        <v>84</v>
      </c>
      <c r="P11" s="132">
        <v>1.113</v>
      </c>
      <c r="Q11" s="133">
        <v>1.1052999999999999</v>
      </c>
      <c r="R11" s="129">
        <f t="shared" si="3"/>
        <v>6.9664344521849636E-3</v>
      </c>
      <c r="S11" s="545">
        <v>2022</v>
      </c>
      <c r="T11" s="168" t="s">
        <v>63</v>
      </c>
      <c r="U11" s="577" t="s">
        <v>83</v>
      </c>
      <c r="V11" s="162">
        <v>0.83025499999999997</v>
      </c>
      <c r="W11" s="163">
        <v>-0.84928300000000001</v>
      </c>
      <c r="X11" s="102">
        <v>60771.79</v>
      </c>
      <c r="Y11" s="103">
        <v>46297</v>
      </c>
      <c r="Z11" s="120">
        <f t="shared" si="4"/>
        <v>0.31265071170918202</v>
      </c>
      <c r="AA11" s="580" t="s">
        <v>84</v>
      </c>
      <c r="AB11" s="156">
        <v>-0.10388699999999999</v>
      </c>
      <c r="AC11" s="157">
        <v>0</v>
      </c>
      <c r="AD11" s="108">
        <v>4831.95</v>
      </c>
      <c r="AE11" s="109">
        <v>4545.8599999999997</v>
      </c>
      <c r="AF11" s="123">
        <f t="shared" si="5"/>
        <v>6.2934186270584697E-2</v>
      </c>
      <c r="AG11" s="583" t="s">
        <v>84</v>
      </c>
      <c r="AH11" s="150">
        <v>-1.3643000000000001E-2</v>
      </c>
      <c r="AI11" s="151">
        <v>0</v>
      </c>
      <c r="AJ11" s="114">
        <v>1867.42</v>
      </c>
      <c r="AK11" s="115">
        <v>1951.1</v>
      </c>
      <c r="AL11" s="126">
        <f t="shared" si="6"/>
        <v>-4.288862692839928E-2</v>
      </c>
      <c r="AM11" s="586" t="s">
        <v>84</v>
      </c>
      <c r="AN11" s="144">
        <v>-1.2930000000000001E-2</v>
      </c>
      <c r="AO11" s="145">
        <v>0</v>
      </c>
      <c r="AP11" s="132">
        <v>1.1380999999999999</v>
      </c>
      <c r="AQ11" s="133">
        <v>1.1052999999999999</v>
      </c>
      <c r="AR11" s="129">
        <f t="shared" si="7"/>
        <v>2.9675201302813665E-2</v>
      </c>
      <c r="AT11" s="171" t="s">
        <v>1</v>
      </c>
      <c r="AU11" s="173">
        <v>8728751.6699999999</v>
      </c>
      <c r="AV11" s="178">
        <v>4104.3900000000003</v>
      </c>
      <c r="AW11" s="183">
        <v>2523.25</v>
      </c>
      <c r="AX11" s="188">
        <v>1.1509</v>
      </c>
    </row>
    <row r="12" spans="1:50" ht="15" thickBot="1" x14ac:dyDescent="0.4">
      <c r="A12" s="546"/>
      <c r="B12" s="141" t="s">
        <v>64</v>
      </c>
      <c r="C12" s="565"/>
      <c r="D12" s="104">
        <v>32598.09</v>
      </c>
      <c r="E12" s="105">
        <v>19262.900000000001</v>
      </c>
      <c r="F12" s="121">
        <f t="shared" si="0"/>
        <v>0.69227322988750384</v>
      </c>
      <c r="G12" s="569"/>
      <c r="H12" s="110">
        <v>4120.01</v>
      </c>
      <c r="I12" s="111">
        <v>3825.33</v>
      </c>
      <c r="J12" s="124">
        <f t="shared" si="1"/>
        <v>7.7033876815856481E-2</v>
      </c>
      <c r="K12" s="572"/>
      <c r="L12" s="116">
        <v>1858.81</v>
      </c>
      <c r="M12" s="117">
        <v>1807.3</v>
      </c>
      <c r="N12" s="127">
        <f t="shared" si="2"/>
        <v>2.8501078957560998E-2</v>
      </c>
      <c r="O12" s="575"/>
      <c r="P12" s="134">
        <v>1.0649</v>
      </c>
      <c r="Q12" s="135">
        <v>1.0427999999999999</v>
      </c>
      <c r="R12" s="130">
        <f t="shared" si="3"/>
        <v>2.1192942079018038E-2</v>
      </c>
      <c r="S12" s="546"/>
      <c r="T12" s="141" t="s">
        <v>64</v>
      </c>
      <c r="U12" s="578"/>
      <c r="V12" s="164">
        <v>-0.60023300000000002</v>
      </c>
      <c r="W12" s="165">
        <v>0.45742699999999997</v>
      </c>
      <c r="X12" s="104">
        <v>80681.100000000006</v>
      </c>
      <c r="Y12" s="105">
        <v>19262.900000000001</v>
      </c>
      <c r="Z12" s="121">
        <f t="shared" si="4"/>
        <v>3.1884191892186533</v>
      </c>
      <c r="AA12" s="581"/>
      <c r="AB12" s="158">
        <v>0</v>
      </c>
      <c r="AC12" s="159">
        <v>0</v>
      </c>
      <c r="AD12" s="110">
        <v>4897.33</v>
      </c>
      <c r="AE12" s="111">
        <v>3825.33</v>
      </c>
      <c r="AF12" s="124">
        <f t="shared" si="5"/>
        <v>0.28023726057621173</v>
      </c>
      <c r="AG12" s="584"/>
      <c r="AH12" s="152">
        <v>0</v>
      </c>
      <c r="AI12" s="153">
        <v>0</v>
      </c>
      <c r="AJ12" s="116">
        <v>1907.26</v>
      </c>
      <c r="AK12" s="117">
        <v>1807.3</v>
      </c>
      <c r="AL12" s="127">
        <f t="shared" si="6"/>
        <v>5.5309024511702561E-2</v>
      </c>
      <c r="AM12" s="587"/>
      <c r="AN12" s="146">
        <v>0</v>
      </c>
      <c r="AO12" s="147">
        <v>0</v>
      </c>
      <c r="AP12" s="134">
        <v>1.1394</v>
      </c>
      <c r="AQ12" s="135">
        <v>1.0427999999999999</v>
      </c>
      <c r="AR12" s="130">
        <f t="shared" si="7"/>
        <v>9.2635212888377463E-2</v>
      </c>
      <c r="AT12" s="171" t="s">
        <v>10</v>
      </c>
      <c r="AU12" s="174">
        <f>(AU11-AU10)/AU10</f>
        <v>97.283360825833412</v>
      </c>
      <c r="AV12" s="179">
        <f t="shared" ref="AV12:AX12" si="8">(AV11-AV10)/AV10</f>
        <v>-0.40042509677890581</v>
      </c>
      <c r="AW12" s="184">
        <f t="shared" si="8"/>
        <v>-0.42147860279029248</v>
      </c>
      <c r="AX12" s="189">
        <f t="shared" si="8"/>
        <v>-2.0177081559679937E-2</v>
      </c>
    </row>
    <row r="13" spans="1:50" x14ac:dyDescent="0.35">
      <c r="A13" s="546"/>
      <c r="B13" s="141" t="s">
        <v>65</v>
      </c>
      <c r="C13" s="565"/>
      <c r="D13" s="104">
        <v>21972.720000000001</v>
      </c>
      <c r="E13" s="105">
        <v>19311.900000000001</v>
      </c>
      <c r="F13" s="121">
        <f t="shared" si="0"/>
        <v>0.13778136796482995</v>
      </c>
      <c r="G13" s="569"/>
      <c r="H13" s="110">
        <v>3984.72</v>
      </c>
      <c r="I13" s="111">
        <v>3585.62</v>
      </c>
      <c r="J13" s="124">
        <f t="shared" si="1"/>
        <v>0.11130571560845821</v>
      </c>
      <c r="K13" s="572"/>
      <c r="L13" s="116">
        <v>1711.01</v>
      </c>
      <c r="M13" s="117">
        <v>1663.6</v>
      </c>
      <c r="N13" s="127">
        <f t="shared" si="2"/>
        <v>2.849843712430878E-2</v>
      </c>
      <c r="O13" s="575"/>
      <c r="P13" s="134">
        <v>0.99429999999999996</v>
      </c>
      <c r="Q13" s="135">
        <v>0.97989999999999999</v>
      </c>
      <c r="R13" s="130">
        <f t="shared" si="3"/>
        <v>1.4695377079293774E-2</v>
      </c>
      <c r="S13" s="546"/>
      <c r="T13" s="141" t="s">
        <v>65</v>
      </c>
      <c r="U13" s="578"/>
      <c r="V13" s="164">
        <v>0.12842899999999999</v>
      </c>
      <c r="W13" s="165">
        <v>0</v>
      </c>
      <c r="X13" s="104">
        <v>107446.94</v>
      </c>
      <c r="Y13" s="105">
        <v>19311.900000000001</v>
      </c>
      <c r="Z13" s="121">
        <f t="shared" si="4"/>
        <v>4.563768453647751</v>
      </c>
      <c r="AA13" s="581"/>
      <c r="AB13" s="158">
        <v>0</v>
      </c>
      <c r="AC13" s="159">
        <v>0</v>
      </c>
      <c r="AD13" s="110">
        <v>4964.32</v>
      </c>
      <c r="AE13" s="111">
        <v>3585.62</v>
      </c>
      <c r="AF13" s="124">
        <f t="shared" si="5"/>
        <v>0.38450811854016875</v>
      </c>
      <c r="AG13" s="584"/>
      <c r="AH13" s="152">
        <v>0</v>
      </c>
      <c r="AI13" s="153">
        <v>0</v>
      </c>
      <c r="AJ13" s="116">
        <v>1948.41</v>
      </c>
      <c r="AK13" s="117">
        <v>1663.6</v>
      </c>
      <c r="AL13" s="127">
        <f t="shared" si="6"/>
        <v>0.1712010098581391</v>
      </c>
      <c r="AM13" s="587"/>
      <c r="AN13" s="146">
        <v>0</v>
      </c>
      <c r="AO13" s="147">
        <v>0</v>
      </c>
      <c r="AP13" s="134">
        <v>1.1407</v>
      </c>
      <c r="AQ13" s="135">
        <v>0.97989999999999999</v>
      </c>
      <c r="AR13" s="130">
        <f t="shared" si="7"/>
        <v>0.16409837738544755</v>
      </c>
      <c r="AT13" s="170" t="s">
        <v>53</v>
      </c>
      <c r="AU13" s="199" t="s">
        <v>83</v>
      </c>
      <c r="AV13" s="193" t="s">
        <v>84</v>
      </c>
      <c r="AW13" s="194" t="s">
        <v>84</v>
      </c>
      <c r="AX13" s="195" t="s">
        <v>84</v>
      </c>
    </row>
    <row r="14" spans="1:50" ht="15" thickBot="1" x14ac:dyDescent="0.4">
      <c r="A14" s="547"/>
      <c r="B14" s="141" t="s">
        <v>66</v>
      </c>
      <c r="C14" s="566"/>
      <c r="D14" s="106">
        <v>18384.73</v>
      </c>
      <c r="E14" s="107">
        <v>16618.400000000001</v>
      </c>
      <c r="F14" s="122">
        <f t="shared" si="0"/>
        <v>0.10628760891541893</v>
      </c>
      <c r="G14" s="570"/>
      <c r="H14" s="112">
        <v>4081.67</v>
      </c>
      <c r="I14" s="113">
        <v>3839.5</v>
      </c>
      <c r="J14" s="125">
        <f t="shared" si="1"/>
        <v>6.3073316838129986E-2</v>
      </c>
      <c r="K14" s="573"/>
      <c r="L14" s="118">
        <v>1820.68</v>
      </c>
      <c r="M14" s="119">
        <v>1826</v>
      </c>
      <c r="N14" s="128">
        <f t="shared" si="2"/>
        <v>-2.9134720700985414E-3</v>
      </c>
      <c r="O14" s="576"/>
      <c r="P14" s="136">
        <v>1.0523</v>
      </c>
      <c r="Q14" s="137">
        <v>1.0702</v>
      </c>
      <c r="R14" s="131">
        <f t="shared" si="3"/>
        <v>-1.6725845636329683E-2</v>
      </c>
      <c r="S14" s="547"/>
      <c r="T14" s="141" t="s">
        <v>66</v>
      </c>
      <c r="U14" s="579"/>
      <c r="V14" s="166">
        <v>3.114E-3</v>
      </c>
      <c r="W14" s="167">
        <v>4.1460000000000004E-3</v>
      </c>
      <c r="X14" s="106">
        <v>143092.29999999999</v>
      </c>
      <c r="Y14" s="107">
        <v>16618.400000000001</v>
      </c>
      <c r="Z14" s="122">
        <f t="shared" si="4"/>
        <v>7.610473932508544</v>
      </c>
      <c r="AA14" s="582"/>
      <c r="AB14" s="160">
        <v>1.4799999999999999E-4</v>
      </c>
      <c r="AC14" s="161">
        <v>1.0399999999999999E-4</v>
      </c>
      <c r="AD14" s="112">
        <v>5032.24</v>
      </c>
      <c r="AE14" s="113">
        <v>3839.5</v>
      </c>
      <c r="AF14" s="125">
        <f t="shared" si="5"/>
        <v>0.31064982419585879</v>
      </c>
      <c r="AG14" s="585"/>
      <c r="AH14" s="154">
        <v>2.32E-4</v>
      </c>
      <c r="AI14" s="155">
        <v>8.3999999999999995E-5</v>
      </c>
      <c r="AJ14" s="118">
        <v>1990.44</v>
      </c>
      <c r="AK14" s="119">
        <v>1826</v>
      </c>
      <c r="AL14" s="128">
        <f t="shared" si="6"/>
        <v>9.0054764512595864E-2</v>
      </c>
      <c r="AM14" s="588"/>
      <c r="AN14" s="148">
        <v>1.2999999999999999E-5</v>
      </c>
      <c r="AO14" s="149">
        <v>2.5000000000000001E-5</v>
      </c>
      <c r="AP14" s="136">
        <v>1.1419999999999999</v>
      </c>
      <c r="AQ14" s="137">
        <v>1.0702</v>
      </c>
      <c r="AR14" s="131">
        <f t="shared" si="7"/>
        <v>6.7090263502149E-2</v>
      </c>
      <c r="AT14" s="171" t="s">
        <v>100</v>
      </c>
      <c r="AU14" s="175">
        <v>3.2360000000000002E-3</v>
      </c>
      <c r="AV14" s="180">
        <v>1.0900000000000001E-4</v>
      </c>
      <c r="AW14" s="185">
        <v>2.3000000000000001E-4</v>
      </c>
      <c r="AX14" s="190">
        <v>1.2E-5</v>
      </c>
    </row>
    <row r="15" spans="1:50" ht="15" thickBot="1" x14ac:dyDescent="0.4">
      <c r="A15" s="545">
        <v>2023</v>
      </c>
      <c r="B15" s="168" t="s">
        <v>67</v>
      </c>
      <c r="C15" s="564" t="s">
        <v>83</v>
      </c>
      <c r="D15" s="102">
        <v>25797.06</v>
      </c>
      <c r="E15" s="103">
        <v>28456.1</v>
      </c>
      <c r="F15" s="120">
        <f t="shared" si="0"/>
        <v>-9.3443585030977452E-2</v>
      </c>
      <c r="G15" s="568" t="s">
        <v>84</v>
      </c>
      <c r="H15" s="108">
        <v>3967.4</v>
      </c>
      <c r="I15" s="109">
        <v>4109.3100000000004</v>
      </c>
      <c r="J15" s="123">
        <f t="shared" si="1"/>
        <v>-3.4533778176871616E-2</v>
      </c>
      <c r="K15" s="571" t="s">
        <v>84</v>
      </c>
      <c r="L15" s="114">
        <v>1858.35</v>
      </c>
      <c r="M15" s="115">
        <v>1988.5</v>
      </c>
      <c r="N15" s="126">
        <f t="shared" si="2"/>
        <v>-6.5451345235101877E-2</v>
      </c>
      <c r="O15" s="574" t="s">
        <v>84</v>
      </c>
      <c r="P15" s="132">
        <v>1.0666</v>
      </c>
      <c r="Q15" s="133">
        <v>1.0839000000000001</v>
      </c>
      <c r="R15" s="129">
        <f t="shared" si="3"/>
        <v>-1.5960882000184605E-2</v>
      </c>
      <c r="S15" s="545">
        <v>2023</v>
      </c>
      <c r="T15" s="168" t="s">
        <v>67</v>
      </c>
      <c r="U15" s="577" t="s">
        <v>83</v>
      </c>
      <c r="V15" s="162">
        <v>0.82177599999999995</v>
      </c>
      <c r="W15" s="163">
        <v>-0.83976200000000001</v>
      </c>
      <c r="X15" s="102">
        <v>21000.880000000001</v>
      </c>
      <c r="Y15" s="103">
        <v>28456.1</v>
      </c>
      <c r="Z15" s="120">
        <f t="shared" si="4"/>
        <v>-0.26199022353730828</v>
      </c>
      <c r="AA15" s="580" t="s">
        <v>84</v>
      </c>
      <c r="AB15" s="156">
        <v>-9.8312999999999998E-2</v>
      </c>
      <c r="AC15" s="157">
        <v>0</v>
      </c>
      <c r="AD15" s="108">
        <v>3880.12</v>
      </c>
      <c r="AE15" s="109">
        <v>4109.3100000000004</v>
      </c>
      <c r="AF15" s="123">
        <f t="shared" si="5"/>
        <v>-5.5773353677381482E-2</v>
      </c>
      <c r="AG15" s="583" t="s">
        <v>84</v>
      </c>
      <c r="AH15" s="150">
        <v>-1.2661E-2</v>
      </c>
      <c r="AI15" s="151">
        <v>0</v>
      </c>
      <c r="AJ15" s="114">
        <v>1863.23</v>
      </c>
      <c r="AK15" s="115">
        <v>1988.5</v>
      </c>
      <c r="AL15" s="126">
        <f t="shared" si="6"/>
        <v>-6.299723409605229E-2</v>
      </c>
      <c r="AM15" s="586" t="s">
        <v>84</v>
      </c>
      <c r="AN15" s="144">
        <v>-1.2026999999999999E-2</v>
      </c>
      <c r="AO15" s="145">
        <v>0</v>
      </c>
      <c r="AP15" s="132">
        <v>1.0707</v>
      </c>
      <c r="AQ15" s="133">
        <v>1.0839000000000001</v>
      </c>
      <c r="AR15" s="129">
        <f t="shared" si="7"/>
        <v>-1.2178245225574407E-2</v>
      </c>
      <c r="AT15" s="172" t="s">
        <v>101</v>
      </c>
      <c r="AU15" s="176">
        <v>4.6369999999999996E-3</v>
      </c>
      <c r="AV15" s="200">
        <v>9.7E-5</v>
      </c>
      <c r="AW15" s="201">
        <v>8.2999999999999998E-5</v>
      </c>
      <c r="AX15" s="202">
        <v>2.5999999999999998E-5</v>
      </c>
    </row>
    <row r="16" spans="1:50" x14ac:dyDescent="0.35">
      <c r="A16" s="546"/>
      <c r="B16" s="141" t="s">
        <v>68</v>
      </c>
      <c r="C16" s="565"/>
      <c r="D16" s="104">
        <v>29263.66</v>
      </c>
      <c r="E16" s="105">
        <v>30586.799999999999</v>
      </c>
      <c r="F16" s="121">
        <f t="shared" si="0"/>
        <v>-4.3258529823322463E-2</v>
      </c>
      <c r="G16" s="569"/>
      <c r="H16" s="110">
        <v>4239.49</v>
      </c>
      <c r="I16" s="111">
        <v>4450.38</v>
      </c>
      <c r="J16" s="124">
        <f t="shared" si="1"/>
        <v>-4.7386964708631692E-2</v>
      </c>
      <c r="K16" s="572"/>
      <c r="L16" s="116">
        <v>2000.46</v>
      </c>
      <c r="M16" s="117">
        <v>1917.9</v>
      </c>
      <c r="N16" s="127">
        <f t="shared" si="2"/>
        <v>4.3047082746754235E-2</v>
      </c>
      <c r="O16" s="575"/>
      <c r="P16" s="134">
        <v>1.0763</v>
      </c>
      <c r="Q16" s="135">
        <v>1.091</v>
      </c>
      <c r="R16" s="130">
        <f t="shared" si="3"/>
        <v>-1.3473877176901865E-2</v>
      </c>
      <c r="S16" s="546"/>
      <c r="T16" s="141" t="s">
        <v>68</v>
      </c>
      <c r="U16" s="578"/>
      <c r="V16" s="164">
        <v>-0.59802200000000005</v>
      </c>
      <c r="W16" s="165">
        <v>0.458592</v>
      </c>
      <c r="X16" s="104">
        <v>26698.63</v>
      </c>
      <c r="Y16" s="105">
        <v>30586.799999999999</v>
      </c>
      <c r="Z16" s="121">
        <f t="shared" si="4"/>
        <v>-0.12711921482469557</v>
      </c>
      <c r="AA16" s="581"/>
      <c r="AB16" s="158">
        <v>0</v>
      </c>
      <c r="AC16" s="159">
        <v>0</v>
      </c>
      <c r="AD16" s="110">
        <v>3921.12</v>
      </c>
      <c r="AE16" s="111">
        <v>4450.38</v>
      </c>
      <c r="AF16" s="124">
        <f t="shared" si="5"/>
        <v>-0.11892467609507508</v>
      </c>
      <c r="AG16" s="584"/>
      <c r="AH16" s="152">
        <v>0</v>
      </c>
      <c r="AI16" s="153">
        <v>0</v>
      </c>
      <c r="AJ16" s="116">
        <v>1901.2</v>
      </c>
      <c r="AK16" s="117">
        <v>1917.9</v>
      </c>
      <c r="AL16" s="127">
        <f t="shared" si="6"/>
        <v>-8.7074404296366044E-3</v>
      </c>
      <c r="AM16" s="587"/>
      <c r="AN16" s="146">
        <v>0</v>
      </c>
      <c r="AO16" s="147">
        <v>0</v>
      </c>
      <c r="AP16" s="134">
        <v>1.0711999999999999</v>
      </c>
      <c r="AQ16" s="135">
        <v>1.091</v>
      </c>
      <c r="AR16" s="130">
        <f t="shared" si="7"/>
        <v>-1.81484876260312E-2</v>
      </c>
      <c r="AT16" s="170" t="s">
        <v>102</v>
      </c>
      <c r="AU16" s="192">
        <v>0.83641399999999999</v>
      </c>
      <c r="AV16" s="196">
        <v>-8.0033000000000007E-2</v>
      </c>
      <c r="AW16" s="197">
        <v>-1.4593999999999999E-2</v>
      </c>
      <c r="AX16" s="198">
        <v>-1.6071999999999999E-2</v>
      </c>
    </row>
    <row r="17" spans="1:50" x14ac:dyDescent="0.35">
      <c r="A17" s="546"/>
      <c r="B17" s="141" t="s">
        <v>69</v>
      </c>
      <c r="C17" s="565"/>
      <c r="D17" s="104">
        <v>28256.46</v>
      </c>
      <c r="E17" s="105">
        <v>27974.5</v>
      </c>
      <c r="F17" s="121">
        <f t="shared" si="0"/>
        <v>1.0079179252533526E-2</v>
      </c>
      <c r="G17" s="569"/>
      <c r="H17" s="110">
        <v>4534.6400000000003</v>
      </c>
      <c r="I17" s="111">
        <v>4288.05</v>
      </c>
      <c r="J17" s="124">
        <f t="shared" si="1"/>
        <v>5.7506325719149765E-2</v>
      </c>
      <c r="K17" s="572"/>
      <c r="L17" s="116">
        <v>1960.68</v>
      </c>
      <c r="M17" s="117">
        <v>1869.5</v>
      </c>
      <c r="N17" s="127">
        <f t="shared" si="2"/>
        <v>4.877239903717575E-2</v>
      </c>
      <c r="O17" s="575"/>
      <c r="P17" s="134">
        <v>1.0774999999999999</v>
      </c>
      <c r="Q17" s="135">
        <v>1.0569999999999999</v>
      </c>
      <c r="R17" s="130">
        <f t="shared" si="3"/>
        <v>1.9394512771996181E-2</v>
      </c>
      <c r="S17" s="546"/>
      <c r="T17" s="141" t="s">
        <v>69</v>
      </c>
      <c r="U17" s="578"/>
      <c r="V17" s="164">
        <v>0.12447</v>
      </c>
      <c r="W17" s="165">
        <v>0</v>
      </c>
      <c r="X17" s="104">
        <v>34031.879999999997</v>
      </c>
      <c r="Y17" s="105">
        <v>27974.5</v>
      </c>
      <c r="Z17" s="121">
        <f t="shared" si="4"/>
        <v>0.2165321989669162</v>
      </c>
      <c r="AA17" s="581"/>
      <c r="AB17" s="158">
        <v>0</v>
      </c>
      <c r="AC17" s="159">
        <v>0</v>
      </c>
      <c r="AD17" s="110">
        <v>3963.02</v>
      </c>
      <c r="AE17" s="111">
        <v>4288.05</v>
      </c>
      <c r="AF17" s="124">
        <f t="shared" si="5"/>
        <v>-7.5799022865871479E-2</v>
      </c>
      <c r="AG17" s="584"/>
      <c r="AH17" s="152">
        <v>0</v>
      </c>
      <c r="AI17" s="153">
        <v>0</v>
      </c>
      <c r="AJ17" s="116">
        <v>1940.39</v>
      </c>
      <c r="AK17" s="117">
        <v>1869.5</v>
      </c>
      <c r="AL17" s="127">
        <f t="shared" si="6"/>
        <v>3.7919229740572401E-2</v>
      </c>
      <c r="AM17" s="587"/>
      <c r="AN17" s="146">
        <v>0</v>
      </c>
      <c r="AO17" s="147">
        <v>0</v>
      </c>
      <c r="AP17" s="134">
        <v>1.0716000000000001</v>
      </c>
      <c r="AQ17" s="135">
        <v>1.0569999999999999</v>
      </c>
      <c r="AR17" s="130">
        <f t="shared" si="7"/>
        <v>1.381267738883649E-2</v>
      </c>
      <c r="AT17" s="171" t="s">
        <v>103</v>
      </c>
      <c r="AU17" s="175">
        <v>-0.58754300000000004</v>
      </c>
      <c r="AV17" s="177" t="s">
        <v>107</v>
      </c>
      <c r="AW17" s="182" t="s">
        <v>107</v>
      </c>
      <c r="AX17" s="187" t="s">
        <v>107</v>
      </c>
    </row>
    <row r="18" spans="1:50" ht="15" thickBot="1" x14ac:dyDescent="0.4">
      <c r="A18" s="547"/>
      <c r="B18" s="141" t="s">
        <v>70</v>
      </c>
      <c r="C18" s="566"/>
      <c r="D18" s="106">
        <v>42074.9</v>
      </c>
      <c r="E18" s="107">
        <v>44183.4</v>
      </c>
      <c r="F18" s="122">
        <f t="shared" si="0"/>
        <v>-4.7721542479754839E-2</v>
      </c>
      <c r="G18" s="570"/>
      <c r="H18" s="112">
        <v>4612.05</v>
      </c>
      <c r="I18" s="113">
        <v>4769.83</v>
      </c>
      <c r="J18" s="125">
        <f t="shared" si="1"/>
        <v>-3.3078747041299116E-2</v>
      </c>
      <c r="K18" s="573"/>
      <c r="L18" s="118">
        <v>2062.7399999999998</v>
      </c>
      <c r="M18" s="119">
        <v>2083.5</v>
      </c>
      <c r="N18" s="128">
        <f t="shared" si="2"/>
        <v>-9.9640028797697237E-3</v>
      </c>
      <c r="O18" s="576"/>
      <c r="P18" s="136">
        <v>1.0884</v>
      </c>
      <c r="Q18" s="137">
        <v>1.1044</v>
      </c>
      <c r="R18" s="131">
        <f t="shared" si="3"/>
        <v>-1.4487504527345176E-2</v>
      </c>
      <c r="S18" s="547"/>
      <c r="T18" s="141" t="s">
        <v>70</v>
      </c>
      <c r="U18" s="579"/>
      <c r="V18" s="166">
        <v>2.6380000000000002E-3</v>
      </c>
      <c r="W18" s="167">
        <v>3.9119999999999997E-3</v>
      </c>
      <c r="X18" s="106">
        <v>43379.35</v>
      </c>
      <c r="Y18" s="107">
        <v>44183.4</v>
      </c>
      <c r="Z18" s="122">
        <f t="shared" si="4"/>
        <v>-1.8198011017712599E-2</v>
      </c>
      <c r="AA18" s="582"/>
      <c r="AB18" s="160">
        <v>1.16E-4</v>
      </c>
      <c r="AC18" s="161">
        <v>1.07E-4</v>
      </c>
      <c r="AD18" s="112">
        <v>4005.37</v>
      </c>
      <c r="AE18" s="113">
        <v>4769.83</v>
      </c>
      <c r="AF18" s="125">
        <f t="shared" si="5"/>
        <v>-0.16026986286723008</v>
      </c>
      <c r="AG18" s="585"/>
      <c r="AH18" s="154">
        <v>2.22E-4</v>
      </c>
      <c r="AI18" s="155">
        <v>8.2999999999999998E-5</v>
      </c>
      <c r="AJ18" s="118">
        <v>1980.38</v>
      </c>
      <c r="AK18" s="119">
        <v>2083.5</v>
      </c>
      <c r="AL18" s="128">
        <f t="shared" si="6"/>
        <v>-4.9493640508759248E-2</v>
      </c>
      <c r="AM18" s="588"/>
      <c r="AN18" s="148">
        <v>5.0000000000000004E-6</v>
      </c>
      <c r="AO18" s="149">
        <v>2.5000000000000001E-5</v>
      </c>
      <c r="AP18" s="136">
        <v>1.0721000000000001</v>
      </c>
      <c r="AQ18" s="137">
        <v>1.1044</v>
      </c>
      <c r="AR18" s="131">
        <f t="shared" si="7"/>
        <v>-2.9246649764578046E-2</v>
      </c>
      <c r="AT18" s="172" t="s">
        <v>104</v>
      </c>
      <c r="AU18" s="176">
        <v>0.14529800000000001</v>
      </c>
      <c r="AV18" s="181" t="s">
        <v>107</v>
      </c>
      <c r="AW18" s="186" t="s">
        <v>107</v>
      </c>
      <c r="AX18" s="191" t="s">
        <v>107</v>
      </c>
    </row>
    <row r="19" spans="1:50" x14ac:dyDescent="0.35">
      <c r="A19" s="545">
        <v>2024</v>
      </c>
      <c r="B19" s="168" t="s">
        <v>71</v>
      </c>
      <c r="C19" s="564" t="s">
        <v>83</v>
      </c>
      <c r="D19" s="102">
        <v>68589.429999999993</v>
      </c>
      <c r="E19" s="103">
        <v>69664.399999999994</v>
      </c>
      <c r="F19" s="120">
        <f t="shared" si="0"/>
        <v>-1.5430693438829607E-2</v>
      </c>
      <c r="G19" s="568" t="s">
        <v>84</v>
      </c>
      <c r="H19" s="108">
        <v>5157.96</v>
      </c>
      <c r="I19" s="109">
        <v>5243.77</v>
      </c>
      <c r="J19" s="123">
        <f t="shared" si="1"/>
        <v>-1.6364180732564623E-2</v>
      </c>
      <c r="K19" s="571" t="s">
        <v>84</v>
      </c>
      <c r="L19" s="114">
        <v>2069.34</v>
      </c>
      <c r="M19" s="115">
        <v>2245.9</v>
      </c>
      <c r="N19" s="126">
        <f t="shared" si="2"/>
        <v>-7.8614363952090455E-2</v>
      </c>
      <c r="O19" s="574" t="s">
        <v>84</v>
      </c>
      <c r="P19" s="132">
        <v>1.0839000000000001</v>
      </c>
      <c r="Q19" s="133">
        <v>1.0743</v>
      </c>
      <c r="R19" s="129">
        <f t="shared" si="3"/>
        <v>8.9360513822954978E-3</v>
      </c>
      <c r="S19" s="545">
        <v>2024</v>
      </c>
      <c r="T19" s="168" t="s">
        <v>71</v>
      </c>
      <c r="U19" s="577" t="s">
        <v>83</v>
      </c>
      <c r="V19" s="162">
        <v>0.82544499999999998</v>
      </c>
      <c r="W19" s="163">
        <v>-0.84302100000000002</v>
      </c>
      <c r="X19" s="102">
        <v>53703.54</v>
      </c>
      <c r="Y19" s="103">
        <v>69664.399999999994</v>
      </c>
      <c r="Z19" s="120">
        <f t="shared" si="4"/>
        <v>-0.22911070790819982</v>
      </c>
      <c r="AA19" s="580" t="s">
        <v>84</v>
      </c>
      <c r="AB19" s="156">
        <v>-9.6131999999999995E-2</v>
      </c>
      <c r="AC19" s="157">
        <v>0</v>
      </c>
      <c r="AD19" s="108">
        <v>4829.71</v>
      </c>
      <c r="AE19" s="109">
        <v>5243.77</v>
      </c>
      <c r="AF19" s="123">
        <f t="shared" si="5"/>
        <v>-7.8962273326251983E-2</v>
      </c>
      <c r="AG19" s="583" t="s">
        <v>84</v>
      </c>
      <c r="AH19" s="150">
        <v>-1.4022E-2</v>
      </c>
      <c r="AI19" s="151">
        <v>0</v>
      </c>
      <c r="AJ19" s="114">
        <v>2127.59</v>
      </c>
      <c r="AK19" s="115">
        <v>2245.9</v>
      </c>
      <c r="AL19" s="126">
        <f t="shared" si="6"/>
        <v>-5.2678213633732554E-2</v>
      </c>
      <c r="AM19" s="586" t="s">
        <v>84</v>
      </c>
      <c r="AN19" s="144">
        <v>-1.3049E-2</v>
      </c>
      <c r="AO19" s="145">
        <v>0</v>
      </c>
      <c r="AP19" s="132">
        <v>1.1044</v>
      </c>
      <c r="AQ19" s="133">
        <v>1.0743</v>
      </c>
      <c r="AR19" s="129">
        <f t="shared" si="7"/>
        <v>2.8018244438238867E-2</v>
      </c>
      <c r="AT19" s="170" t="s">
        <v>105</v>
      </c>
      <c r="AU19" s="192">
        <v>-0.84614500000000004</v>
      </c>
      <c r="AV19" s="193" t="s">
        <v>107</v>
      </c>
      <c r="AW19" s="194" t="s">
        <v>107</v>
      </c>
      <c r="AX19" s="195" t="s">
        <v>107</v>
      </c>
    </row>
    <row r="20" spans="1:50" ht="15" thickBot="1" x14ac:dyDescent="0.4">
      <c r="A20" s="546"/>
      <c r="B20" s="141" t="s">
        <v>72</v>
      </c>
      <c r="C20" s="565"/>
      <c r="D20" s="104">
        <v>73345.210000000006</v>
      </c>
      <c r="E20" s="105">
        <v>62890.1</v>
      </c>
      <c r="F20" s="121">
        <f t="shared" si="0"/>
        <v>0.16624413063423349</v>
      </c>
      <c r="G20" s="569"/>
      <c r="H20" s="110">
        <v>5297.3</v>
      </c>
      <c r="I20" s="111">
        <v>5475.09</v>
      </c>
      <c r="J20" s="124">
        <f t="shared" si="1"/>
        <v>-3.2472525565789778E-2</v>
      </c>
      <c r="K20" s="572"/>
      <c r="L20" s="116">
        <v>2371.9</v>
      </c>
      <c r="M20" s="117">
        <v>2338.9</v>
      </c>
      <c r="N20" s="127">
        <f t="shared" si="2"/>
        <v>1.4109196630894865E-2</v>
      </c>
      <c r="O20" s="575"/>
      <c r="P20" s="134">
        <v>1.0843</v>
      </c>
      <c r="Q20" s="135">
        <v>1.0738000000000001</v>
      </c>
      <c r="R20" s="130">
        <f t="shared" si="3"/>
        <v>9.7783572359843116E-3</v>
      </c>
      <c r="S20" s="546"/>
      <c r="T20" s="141" t="s">
        <v>72</v>
      </c>
      <c r="U20" s="578"/>
      <c r="V20" s="164">
        <v>-0.59780100000000003</v>
      </c>
      <c r="W20" s="165">
        <v>0.46024100000000001</v>
      </c>
      <c r="X20" s="104">
        <v>68239.16</v>
      </c>
      <c r="Y20" s="105">
        <v>62890.1</v>
      </c>
      <c r="Z20" s="121">
        <f t="shared" si="4"/>
        <v>8.5054086414236979E-2</v>
      </c>
      <c r="AA20" s="581"/>
      <c r="AB20" s="158">
        <v>0</v>
      </c>
      <c r="AC20" s="159">
        <v>0</v>
      </c>
      <c r="AD20" s="110">
        <v>4889.62</v>
      </c>
      <c r="AE20" s="111">
        <v>5475.09</v>
      </c>
      <c r="AF20" s="124">
        <f t="shared" si="5"/>
        <v>-0.10693340200800357</v>
      </c>
      <c r="AG20" s="584"/>
      <c r="AH20" s="152">
        <v>0</v>
      </c>
      <c r="AI20" s="153">
        <v>0</v>
      </c>
      <c r="AJ20" s="116">
        <v>2172.1</v>
      </c>
      <c r="AK20" s="117">
        <v>2338.9</v>
      </c>
      <c r="AL20" s="127">
        <f t="shared" si="6"/>
        <v>-7.1315575697977751E-2</v>
      </c>
      <c r="AM20" s="587"/>
      <c r="AN20" s="146">
        <v>0</v>
      </c>
      <c r="AO20" s="147">
        <v>0</v>
      </c>
      <c r="AP20" s="134">
        <v>1.1052999999999999</v>
      </c>
      <c r="AQ20" s="135">
        <v>1.0738000000000001</v>
      </c>
      <c r="AR20" s="130">
        <f t="shared" si="7"/>
        <v>2.9335071707952933E-2</v>
      </c>
      <c r="AT20" s="172" t="s">
        <v>106</v>
      </c>
      <c r="AU20" s="176">
        <v>0.42247299999999999</v>
      </c>
      <c r="AV20" s="181" t="s">
        <v>107</v>
      </c>
      <c r="AW20" s="186" t="s">
        <v>107</v>
      </c>
      <c r="AX20" s="191" t="s">
        <v>107</v>
      </c>
    </row>
    <row r="21" spans="1:50" x14ac:dyDescent="0.35">
      <c r="A21" s="546"/>
      <c r="B21" s="141" t="s">
        <v>73</v>
      </c>
      <c r="C21" s="565"/>
      <c r="D21" s="104">
        <v>61933.52</v>
      </c>
      <c r="E21" s="105">
        <v>60835.5</v>
      </c>
      <c r="F21" s="121">
        <f t="shared" si="0"/>
        <v>1.8049000994485077E-2</v>
      </c>
      <c r="G21" s="569"/>
      <c r="H21" s="110">
        <v>5674.85</v>
      </c>
      <c r="I21" s="111">
        <v>5708.75</v>
      </c>
      <c r="J21" s="124">
        <f t="shared" si="1"/>
        <v>-5.9382526822859012E-3</v>
      </c>
      <c r="K21" s="572"/>
      <c r="L21" s="116">
        <v>2555.67</v>
      </c>
      <c r="M21" s="117">
        <v>2678.5</v>
      </c>
      <c r="N21" s="127">
        <f t="shared" si="2"/>
        <v>-4.5857756206832155E-2</v>
      </c>
      <c r="O21" s="575"/>
      <c r="P21" s="134">
        <v>1.1049</v>
      </c>
      <c r="Q21" s="135">
        <v>1.1067</v>
      </c>
      <c r="R21" s="130">
        <f t="shared" si="3"/>
        <v>-1.6264570344266954E-3</v>
      </c>
      <c r="S21" s="546"/>
      <c r="T21" s="141" t="s">
        <v>73</v>
      </c>
      <c r="U21" s="578"/>
      <c r="V21" s="164">
        <v>0.123961</v>
      </c>
      <c r="W21" s="165">
        <v>0</v>
      </c>
      <c r="X21" s="104">
        <v>89637.59</v>
      </c>
      <c r="Y21" s="105">
        <v>60835.5</v>
      </c>
      <c r="Z21" s="121">
        <f t="shared" si="4"/>
        <v>0.47344215137543039</v>
      </c>
      <c r="AA21" s="581"/>
      <c r="AB21" s="158">
        <v>0</v>
      </c>
      <c r="AC21" s="159">
        <v>0</v>
      </c>
      <c r="AD21" s="110">
        <v>4950.9399999999996</v>
      </c>
      <c r="AE21" s="111">
        <v>5708.75</v>
      </c>
      <c r="AF21" s="124">
        <f t="shared" si="5"/>
        <v>-0.13274534705495955</v>
      </c>
      <c r="AG21" s="584"/>
      <c r="AH21" s="152">
        <v>0</v>
      </c>
      <c r="AI21" s="153">
        <v>0</v>
      </c>
      <c r="AJ21" s="116">
        <v>2218.06</v>
      </c>
      <c r="AK21" s="117">
        <v>2678.5</v>
      </c>
      <c r="AL21" s="127">
        <f t="shared" si="6"/>
        <v>-0.17190218405824156</v>
      </c>
      <c r="AM21" s="587"/>
      <c r="AN21" s="146">
        <v>0</v>
      </c>
      <c r="AO21" s="147">
        <v>0</v>
      </c>
      <c r="AP21" s="134">
        <v>1.1061000000000001</v>
      </c>
      <c r="AQ21" s="135">
        <v>1.1067</v>
      </c>
      <c r="AR21" s="130">
        <f t="shared" si="7"/>
        <v>-5.4215234480883162E-4</v>
      </c>
    </row>
    <row r="22" spans="1:50" ht="15" thickBot="1" x14ac:dyDescent="0.4">
      <c r="A22" s="547"/>
      <c r="B22" s="169" t="s">
        <v>74</v>
      </c>
      <c r="C22" s="566"/>
      <c r="D22" s="106">
        <v>106284.36</v>
      </c>
      <c r="E22" s="107">
        <v>94560.2</v>
      </c>
      <c r="F22" s="122">
        <f t="shared" si="0"/>
        <v>0.12398620138282283</v>
      </c>
      <c r="G22" s="570"/>
      <c r="H22" s="112">
        <v>6062.78</v>
      </c>
      <c r="I22" s="113">
        <v>5881.63</v>
      </c>
      <c r="J22" s="125">
        <f t="shared" si="1"/>
        <v>3.0799285232154968E-2</v>
      </c>
      <c r="K22" s="573"/>
      <c r="L22" s="118">
        <v>2672.89</v>
      </c>
      <c r="M22" s="119">
        <v>2618.1</v>
      </c>
      <c r="N22" s="128">
        <f t="shared" si="2"/>
        <v>2.0927390092051475E-2</v>
      </c>
      <c r="O22" s="576"/>
      <c r="P22" s="136">
        <v>1.0576000000000001</v>
      </c>
      <c r="Q22" s="137">
        <v>1.0355000000000001</v>
      </c>
      <c r="R22" s="131">
        <f t="shared" si="3"/>
        <v>2.1342346692419127E-2</v>
      </c>
      <c r="S22" s="547"/>
      <c r="T22" s="169" t="s">
        <v>74</v>
      </c>
      <c r="U22" s="579"/>
      <c r="V22" s="166">
        <v>2.6319999999999998E-3</v>
      </c>
      <c r="W22" s="167">
        <v>3.6619999999999999E-3</v>
      </c>
      <c r="X22" s="106">
        <v>110759.65</v>
      </c>
      <c r="Y22" s="107">
        <v>94560.2</v>
      </c>
      <c r="Z22" s="122">
        <f t="shared" si="4"/>
        <v>0.17131361820300717</v>
      </c>
      <c r="AA22" s="582"/>
      <c r="AB22" s="160">
        <v>1.35E-4</v>
      </c>
      <c r="AC22" s="161">
        <v>1.0399999999999999E-4</v>
      </c>
      <c r="AD22" s="112">
        <v>5013.04</v>
      </c>
      <c r="AE22" s="113">
        <v>5881.63</v>
      </c>
      <c r="AF22" s="125">
        <f t="shared" si="5"/>
        <v>-0.14767844968146587</v>
      </c>
      <c r="AG22" s="585"/>
      <c r="AH22" s="154">
        <v>2.2800000000000001E-4</v>
      </c>
      <c r="AI22" s="155">
        <v>8.2000000000000001E-5</v>
      </c>
      <c r="AJ22" s="118">
        <v>2264.98</v>
      </c>
      <c r="AK22" s="119">
        <v>2618.1</v>
      </c>
      <c r="AL22" s="128">
        <f t="shared" si="6"/>
        <v>-0.1348764371108819</v>
      </c>
      <c r="AM22" s="588"/>
      <c r="AN22" s="148">
        <v>7.9999999999999996E-6</v>
      </c>
      <c r="AO22" s="149">
        <v>2.5000000000000001E-5</v>
      </c>
      <c r="AP22" s="136">
        <v>1.1069</v>
      </c>
      <c r="AQ22" s="137">
        <v>1.0355000000000001</v>
      </c>
      <c r="AR22" s="131">
        <f t="shared" si="7"/>
        <v>6.8952197006277069E-2</v>
      </c>
    </row>
    <row r="23" spans="1:50" x14ac:dyDescent="0.35">
      <c r="A23" s="545">
        <v>2025</v>
      </c>
      <c r="B23" s="168" t="s">
        <v>75</v>
      </c>
      <c r="C23" s="564" t="s">
        <v>83</v>
      </c>
      <c r="D23" s="102">
        <v>92378.85</v>
      </c>
      <c r="E23" s="103">
        <v>85164.2</v>
      </c>
      <c r="F23" s="120">
        <f t="shared" si="0"/>
        <v>8.4714586645562445E-2</v>
      </c>
      <c r="G23" s="568" t="s">
        <v>84</v>
      </c>
      <c r="H23" s="108">
        <v>5975.76</v>
      </c>
      <c r="I23" s="109">
        <v>5633.07</v>
      </c>
      <c r="J23" s="123">
        <f t="shared" si="1"/>
        <v>6.0835388163115414E-2</v>
      </c>
      <c r="K23" s="571" t="s">
        <v>84</v>
      </c>
      <c r="L23" s="114">
        <v>2919.44</v>
      </c>
      <c r="M23" s="115">
        <v>3146</v>
      </c>
      <c r="N23" s="126">
        <f t="shared" si="2"/>
        <v>-7.2015257469802904E-2</v>
      </c>
      <c r="O23" s="574" t="s">
        <v>84</v>
      </c>
      <c r="P23" s="132">
        <v>1.0376000000000001</v>
      </c>
      <c r="Q23" s="133">
        <v>1.0792999999999999</v>
      </c>
      <c r="R23" s="129">
        <f t="shared" si="3"/>
        <v>-3.863615306216979E-2</v>
      </c>
      <c r="S23" s="545">
        <v>2025</v>
      </c>
      <c r="T23" s="168" t="s">
        <v>75</v>
      </c>
      <c r="U23" s="577" t="s">
        <v>83</v>
      </c>
      <c r="V23" s="162">
        <v>0.82016599999999995</v>
      </c>
      <c r="W23" s="163">
        <v>-0.83801899999999996</v>
      </c>
      <c r="X23" s="102">
        <v>118317.12</v>
      </c>
      <c r="Y23" s="103">
        <v>85164.2</v>
      </c>
      <c r="Z23" s="120">
        <f t="shared" si="4"/>
        <v>0.3892823510348245</v>
      </c>
      <c r="AA23" s="580" t="s">
        <v>84</v>
      </c>
      <c r="AB23" s="156">
        <v>-9.4159999999999994E-2</v>
      </c>
      <c r="AC23" s="157">
        <v>0</v>
      </c>
      <c r="AD23" s="108">
        <v>5966.37</v>
      </c>
      <c r="AE23" s="109">
        <v>5633.07</v>
      </c>
      <c r="AF23" s="123">
        <f t="shared" si="5"/>
        <v>5.9168446335657147E-2</v>
      </c>
      <c r="AG23" s="583" t="s">
        <v>84</v>
      </c>
      <c r="AH23" s="150">
        <v>-1.3096999999999999E-2</v>
      </c>
      <c r="AI23" s="151">
        <v>0</v>
      </c>
      <c r="AJ23" s="114">
        <v>2676.76</v>
      </c>
      <c r="AK23" s="115">
        <v>3146</v>
      </c>
      <c r="AL23" s="126">
        <f t="shared" si="6"/>
        <v>-0.14915448188175454</v>
      </c>
      <c r="AM23" s="586" t="s">
        <v>84</v>
      </c>
      <c r="AN23" s="144">
        <v>-1.44834E-2</v>
      </c>
      <c r="AO23" s="145">
        <v>0</v>
      </c>
      <c r="AP23" s="132">
        <v>1.0355000000000001</v>
      </c>
      <c r="AQ23" s="133">
        <v>1.0792999999999999</v>
      </c>
      <c r="AR23" s="129">
        <f t="shared" si="7"/>
        <v>-4.0581858612063225E-2</v>
      </c>
    </row>
    <row r="24" spans="1:50" x14ac:dyDescent="0.35">
      <c r="A24" s="546"/>
      <c r="B24" s="141" t="s">
        <v>76</v>
      </c>
      <c r="C24" s="565"/>
      <c r="D24" s="104">
        <v>113839.89</v>
      </c>
      <c r="E24" s="105">
        <v>105694.3</v>
      </c>
      <c r="F24" s="121">
        <f t="shared" si="0"/>
        <v>7.7067448291913532E-2</v>
      </c>
      <c r="G24" s="569"/>
      <c r="H24" s="110">
        <v>5939.33</v>
      </c>
      <c r="I24" s="111">
        <v>6198.01</v>
      </c>
      <c r="J24" s="124">
        <f t="shared" si="1"/>
        <v>-4.1735976547311197E-2</v>
      </c>
      <c r="K24" s="572"/>
      <c r="L24" s="116">
        <v>3371.95</v>
      </c>
      <c r="M24" s="117">
        <v>3349.8</v>
      </c>
      <c r="N24" s="127">
        <f t="shared" si="2"/>
        <v>6.6123350647798781E-3</v>
      </c>
      <c r="O24" s="575"/>
      <c r="P24" s="134">
        <v>1.1352</v>
      </c>
      <c r="Q24" s="135">
        <v>1.1807000000000001</v>
      </c>
      <c r="R24" s="130">
        <f t="shared" si="3"/>
        <v>-3.8536461421190896E-2</v>
      </c>
      <c r="S24" s="546"/>
      <c r="T24" s="141" t="s">
        <v>76</v>
      </c>
      <c r="U24" s="578"/>
      <c r="V24" s="164">
        <v>-0.59844699999999995</v>
      </c>
      <c r="W24" s="165">
        <v>0.46361999999999998</v>
      </c>
      <c r="X24" s="104">
        <v>149940.38</v>
      </c>
      <c r="Y24" s="105">
        <v>105694.3</v>
      </c>
      <c r="Z24" s="121">
        <f t="shared" si="4"/>
        <v>0.41862314240219201</v>
      </c>
      <c r="AA24" s="581"/>
      <c r="AB24" s="158">
        <v>0</v>
      </c>
      <c r="AC24" s="159">
        <v>0</v>
      </c>
      <c r="AD24" s="110">
        <v>6050.02</v>
      </c>
      <c r="AE24" s="111">
        <v>6198.01</v>
      </c>
      <c r="AF24" s="124">
        <f t="shared" si="5"/>
        <v>-2.3877018591451089E-2</v>
      </c>
      <c r="AG24" s="584"/>
      <c r="AH24" s="152">
        <v>0</v>
      </c>
      <c r="AI24" s="153">
        <v>0</v>
      </c>
      <c r="AJ24" s="116">
        <v>2736.72</v>
      </c>
      <c r="AK24" s="117">
        <v>3349.8</v>
      </c>
      <c r="AL24" s="127">
        <f t="shared" si="6"/>
        <v>-0.1830198817839872</v>
      </c>
      <c r="AM24" s="587"/>
      <c r="AN24" s="146">
        <v>0</v>
      </c>
      <c r="AO24" s="147">
        <v>0</v>
      </c>
      <c r="AP24" s="134">
        <v>1.0355000000000001</v>
      </c>
      <c r="AQ24" s="135">
        <v>1.1807000000000001</v>
      </c>
      <c r="AR24" s="130">
        <f t="shared" si="7"/>
        <v>-0.12297789446938255</v>
      </c>
    </row>
    <row r="25" spans="1:50" x14ac:dyDescent="0.35">
      <c r="A25" s="546"/>
      <c r="B25" s="141" t="s">
        <v>77</v>
      </c>
      <c r="C25" s="565"/>
      <c r="D25" s="104">
        <v>117847.47</v>
      </c>
      <c r="E25" s="105">
        <v>118576.2</v>
      </c>
      <c r="F25" s="121">
        <f t="shared" si="0"/>
        <v>-6.1456683550324262E-3</v>
      </c>
      <c r="G25" s="569"/>
      <c r="H25" s="110">
        <v>6492.46</v>
      </c>
      <c r="I25" s="111">
        <v>6711.2</v>
      </c>
      <c r="J25" s="124">
        <f t="shared" si="1"/>
        <v>-3.2593276910239569E-2</v>
      </c>
      <c r="K25" s="572"/>
      <c r="L25" s="116">
        <v>3541.19</v>
      </c>
      <c r="M25" s="117">
        <v>3897.5</v>
      </c>
      <c r="N25" s="127">
        <f t="shared" si="2"/>
        <v>-9.1420141116100057E-2</v>
      </c>
      <c r="O25" s="575"/>
      <c r="P25" s="134">
        <v>1.1716</v>
      </c>
      <c r="Q25" s="135">
        <v>1.173</v>
      </c>
      <c r="R25" s="130">
        <f t="shared" si="3"/>
        <v>-1.1935208866155735E-3</v>
      </c>
      <c r="S25" s="546"/>
      <c r="T25" s="141" t="s">
        <v>77</v>
      </c>
      <c r="U25" s="578"/>
      <c r="V25" s="164">
        <v>0.120382</v>
      </c>
      <c r="W25" s="165">
        <v>0</v>
      </c>
      <c r="X25" s="104">
        <v>190511</v>
      </c>
      <c r="Y25" s="105">
        <v>118576.2</v>
      </c>
      <c r="Z25" s="121">
        <f t="shared" si="4"/>
        <v>0.60665462377779023</v>
      </c>
      <c r="AA25" s="581"/>
      <c r="AB25" s="158">
        <v>0</v>
      </c>
      <c r="AC25" s="159">
        <v>0</v>
      </c>
      <c r="AD25" s="110">
        <v>6135.78</v>
      </c>
      <c r="AE25" s="111">
        <v>6711.2</v>
      </c>
      <c r="AF25" s="124">
        <f t="shared" si="5"/>
        <v>-8.5740255095959006E-2</v>
      </c>
      <c r="AG25" s="584"/>
      <c r="AH25" s="152">
        <v>0</v>
      </c>
      <c r="AI25" s="153">
        <v>0</v>
      </c>
      <c r="AJ25" s="116">
        <v>2798.71</v>
      </c>
      <c r="AK25" s="117">
        <v>3897.5</v>
      </c>
      <c r="AL25" s="127">
        <f t="shared" si="6"/>
        <v>-0.28192174470814624</v>
      </c>
      <c r="AM25" s="587"/>
      <c r="AN25" s="146">
        <v>0</v>
      </c>
      <c r="AO25" s="147">
        <v>0</v>
      </c>
      <c r="AP25" s="134">
        <v>1.0356000000000001</v>
      </c>
      <c r="AQ25" s="135">
        <v>1.173</v>
      </c>
      <c r="AR25" s="130">
        <f t="shared" si="7"/>
        <v>-0.11713554987212273</v>
      </c>
    </row>
    <row r="26" spans="1:50" ht="15" thickBot="1" x14ac:dyDescent="0.4">
      <c r="A26" s="547"/>
      <c r="B26" s="141" t="s">
        <v>78</v>
      </c>
      <c r="C26" s="566"/>
      <c r="D26" s="106">
        <v>93312.15</v>
      </c>
      <c r="E26" s="107">
        <v>88812.1</v>
      </c>
      <c r="F26" s="122">
        <f t="shared" si="0"/>
        <v>5.0669334471316274E-2</v>
      </c>
      <c r="G26" s="570"/>
      <c r="H26" s="112">
        <v>6848.63</v>
      </c>
      <c r="I26" s="113">
        <v>6845.5</v>
      </c>
      <c r="J26" s="125">
        <f t="shared" si="1"/>
        <v>4.5723467971661811E-4</v>
      </c>
      <c r="K26" s="573"/>
      <c r="L26" s="118">
        <v>4314.18</v>
      </c>
      <c r="M26" s="119">
        <v>4361.55</v>
      </c>
      <c r="N26" s="128">
        <f t="shared" si="2"/>
        <v>-1.0860817828524237E-2</v>
      </c>
      <c r="O26" s="576"/>
      <c r="P26" s="136">
        <v>1.1615</v>
      </c>
      <c r="Q26" s="137">
        <v>1.1746000000000001</v>
      </c>
      <c r="R26" s="131">
        <f t="shared" si="3"/>
        <v>-1.1152732845224E-2</v>
      </c>
      <c r="S26" s="547"/>
      <c r="T26" s="141" t="s">
        <v>78</v>
      </c>
      <c r="U26" s="579"/>
      <c r="V26" s="166">
        <v>2.6029999999999998E-3</v>
      </c>
      <c r="W26" s="167">
        <v>3.4629999999999999E-3</v>
      </c>
      <c r="X26" s="106">
        <v>242059.16</v>
      </c>
      <c r="Y26" s="107">
        <v>88812.1</v>
      </c>
      <c r="Z26" s="122">
        <f t="shared" si="4"/>
        <v>1.725520058640658</v>
      </c>
      <c r="AA26" s="582"/>
      <c r="AB26" s="160">
        <v>1.5300000000000001E-4</v>
      </c>
      <c r="AC26" s="161">
        <v>1.02E-4</v>
      </c>
      <c r="AD26" s="112">
        <v>6222.76</v>
      </c>
      <c r="AE26" s="113">
        <v>6845.5</v>
      </c>
      <c r="AF26" s="125">
        <f t="shared" si="5"/>
        <v>-9.0970710685851983E-2</v>
      </c>
      <c r="AG26" s="585"/>
      <c r="AH26" s="154">
        <v>2.43E-4</v>
      </c>
      <c r="AI26" s="155">
        <v>8.1000000000000004E-5</v>
      </c>
      <c r="AJ26" s="118">
        <v>2862.11</v>
      </c>
      <c r="AK26" s="119">
        <v>4361.55</v>
      </c>
      <c r="AL26" s="128">
        <f t="shared" si="6"/>
        <v>-0.3437860393667389</v>
      </c>
      <c r="AM26" s="588"/>
      <c r="AN26" s="148">
        <v>8.9400000000000004E-7</v>
      </c>
      <c r="AO26" s="149">
        <v>2.429E-5</v>
      </c>
      <c r="AP26" s="136">
        <v>1.0357000000000001</v>
      </c>
      <c r="AQ26" s="137">
        <v>1.1746000000000001</v>
      </c>
      <c r="AR26" s="131">
        <f t="shared" si="7"/>
        <v>-0.11825302230546571</v>
      </c>
    </row>
    <row r="27" spans="1:50" x14ac:dyDescent="0.35">
      <c r="A27" s="545">
        <v>2026</v>
      </c>
      <c r="B27" s="168" t="s">
        <v>79</v>
      </c>
      <c r="C27" s="564"/>
      <c r="D27" s="102"/>
      <c r="E27" s="103"/>
      <c r="F27" s="120" t="e">
        <f t="shared" si="0"/>
        <v>#DIV/0!</v>
      </c>
      <c r="G27" s="568"/>
      <c r="H27" s="108"/>
      <c r="I27" s="109"/>
      <c r="J27" s="123" t="e">
        <f t="shared" si="1"/>
        <v>#DIV/0!</v>
      </c>
      <c r="K27" s="571"/>
      <c r="L27" s="114"/>
      <c r="M27" s="115"/>
      <c r="N27" s="126" t="e">
        <f t="shared" si="2"/>
        <v>#DIV/0!</v>
      </c>
      <c r="O27" s="574"/>
      <c r="P27" s="132"/>
      <c r="Q27" s="133"/>
      <c r="R27" s="129" t="e">
        <f t="shared" si="3"/>
        <v>#DIV/0!</v>
      </c>
      <c r="S27" s="545">
        <v>2026</v>
      </c>
      <c r="T27" s="168" t="s">
        <v>79</v>
      </c>
      <c r="U27" s="577" t="s">
        <v>83</v>
      </c>
      <c r="V27" s="162"/>
      <c r="W27" s="163"/>
      <c r="X27" s="102"/>
      <c r="Y27" s="103"/>
      <c r="Z27" s="120" t="e">
        <f t="shared" si="4"/>
        <v>#DIV/0!</v>
      </c>
      <c r="AA27" s="580" t="s">
        <v>84</v>
      </c>
      <c r="AB27" s="156"/>
      <c r="AC27" s="157"/>
      <c r="AD27" s="108"/>
      <c r="AE27" s="109"/>
      <c r="AF27" s="123" t="e">
        <f t="shared" si="5"/>
        <v>#DIV/0!</v>
      </c>
      <c r="AG27" s="583" t="s">
        <v>84</v>
      </c>
      <c r="AH27" s="150"/>
      <c r="AI27" s="151"/>
      <c r="AJ27" s="114"/>
      <c r="AK27" s="115"/>
      <c r="AL27" s="126" t="e">
        <f t="shared" si="6"/>
        <v>#DIV/0!</v>
      </c>
      <c r="AM27" s="586" t="s">
        <v>84</v>
      </c>
      <c r="AN27" s="144"/>
      <c r="AO27" s="145"/>
      <c r="AP27" s="132"/>
      <c r="AQ27" s="133"/>
      <c r="AR27" s="129" t="e">
        <f t="shared" si="7"/>
        <v>#DIV/0!</v>
      </c>
    </row>
    <row r="28" spans="1:50" x14ac:dyDescent="0.35">
      <c r="A28" s="546"/>
      <c r="B28" s="141" t="s">
        <v>80</v>
      </c>
      <c r="C28" s="565"/>
      <c r="D28" s="104"/>
      <c r="E28" s="105"/>
      <c r="F28" s="121" t="e">
        <f t="shared" si="0"/>
        <v>#DIV/0!</v>
      </c>
      <c r="G28" s="569"/>
      <c r="H28" s="110"/>
      <c r="I28" s="111"/>
      <c r="J28" s="124" t="e">
        <f t="shared" si="1"/>
        <v>#DIV/0!</v>
      </c>
      <c r="K28" s="572"/>
      <c r="L28" s="116"/>
      <c r="M28" s="117"/>
      <c r="N28" s="127" t="e">
        <f t="shared" si="2"/>
        <v>#DIV/0!</v>
      </c>
      <c r="O28" s="575"/>
      <c r="P28" s="134"/>
      <c r="Q28" s="135"/>
      <c r="R28" s="130" t="e">
        <f t="shared" si="3"/>
        <v>#DIV/0!</v>
      </c>
      <c r="S28" s="546"/>
      <c r="T28" s="141" t="s">
        <v>80</v>
      </c>
      <c r="U28" s="578"/>
      <c r="V28" s="164"/>
      <c r="W28" s="165"/>
      <c r="X28" s="104"/>
      <c r="Y28" s="105"/>
      <c r="Z28" s="121" t="e">
        <f t="shared" si="4"/>
        <v>#DIV/0!</v>
      </c>
      <c r="AA28" s="581"/>
      <c r="AB28" s="158"/>
      <c r="AC28" s="159"/>
      <c r="AD28" s="110"/>
      <c r="AE28" s="111"/>
      <c r="AF28" s="124" t="e">
        <f t="shared" si="5"/>
        <v>#DIV/0!</v>
      </c>
      <c r="AG28" s="584"/>
      <c r="AH28" s="152"/>
      <c r="AI28" s="153"/>
      <c r="AJ28" s="116"/>
      <c r="AK28" s="117"/>
      <c r="AL28" s="127" t="e">
        <f t="shared" si="6"/>
        <v>#DIV/0!</v>
      </c>
      <c r="AM28" s="587"/>
      <c r="AN28" s="146"/>
      <c r="AO28" s="147"/>
      <c r="AP28" s="134"/>
      <c r="AQ28" s="135"/>
      <c r="AR28" s="130" t="e">
        <f t="shared" si="7"/>
        <v>#DIV/0!</v>
      </c>
    </row>
    <row r="29" spans="1:50" x14ac:dyDescent="0.35">
      <c r="A29" s="546"/>
      <c r="B29" s="141" t="s">
        <v>81</v>
      </c>
      <c r="C29" s="565"/>
      <c r="D29" s="104"/>
      <c r="E29" s="105"/>
      <c r="F29" s="121" t="e">
        <f t="shared" si="0"/>
        <v>#DIV/0!</v>
      </c>
      <c r="G29" s="569"/>
      <c r="H29" s="110"/>
      <c r="I29" s="111"/>
      <c r="J29" s="124" t="e">
        <f t="shared" si="1"/>
        <v>#DIV/0!</v>
      </c>
      <c r="K29" s="572"/>
      <c r="L29" s="116"/>
      <c r="M29" s="117"/>
      <c r="N29" s="127" t="e">
        <f t="shared" si="2"/>
        <v>#DIV/0!</v>
      </c>
      <c r="O29" s="575"/>
      <c r="P29" s="134"/>
      <c r="Q29" s="135"/>
      <c r="R29" s="130" t="e">
        <f t="shared" si="3"/>
        <v>#DIV/0!</v>
      </c>
      <c r="S29" s="546"/>
      <c r="T29" s="141" t="s">
        <v>81</v>
      </c>
      <c r="U29" s="578"/>
      <c r="V29" s="164"/>
      <c r="W29" s="165"/>
      <c r="X29" s="104"/>
      <c r="Y29" s="105"/>
      <c r="Z29" s="121" t="e">
        <f t="shared" si="4"/>
        <v>#DIV/0!</v>
      </c>
      <c r="AA29" s="581"/>
      <c r="AB29" s="158"/>
      <c r="AC29" s="159"/>
      <c r="AD29" s="110"/>
      <c r="AE29" s="111"/>
      <c r="AF29" s="124" t="e">
        <f t="shared" si="5"/>
        <v>#DIV/0!</v>
      </c>
      <c r="AG29" s="584"/>
      <c r="AH29" s="152"/>
      <c r="AI29" s="153"/>
      <c r="AJ29" s="116"/>
      <c r="AK29" s="117"/>
      <c r="AL29" s="127" t="e">
        <f t="shared" si="6"/>
        <v>#DIV/0!</v>
      </c>
      <c r="AM29" s="587"/>
      <c r="AN29" s="146"/>
      <c r="AO29" s="147"/>
      <c r="AP29" s="134"/>
      <c r="AQ29" s="135"/>
      <c r="AR29" s="130" t="e">
        <f t="shared" si="7"/>
        <v>#DIV/0!</v>
      </c>
    </row>
    <row r="30" spans="1:50" ht="15" thickBot="1" x14ac:dyDescent="0.4">
      <c r="A30" s="567"/>
      <c r="B30" s="143" t="s">
        <v>82</v>
      </c>
      <c r="C30" s="566"/>
      <c r="D30" s="106"/>
      <c r="E30" s="107"/>
      <c r="F30" s="122" t="e">
        <f t="shared" si="0"/>
        <v>#DIV/0!</v>
      </c>
      <c r="G30" s="570"/>
      <c r="H30" s="112"/>
      <c r="I30" s="113"/>
      <c r="J30" s="125" t="e">
        <f t="shared" si="1"/>
        <v>#DIV/0!</v>
      </c>
      <c r="K30" s="573"/>
      <c r="L30" s="118"/>
      <c r="M30" s="119"/>
      <c r="N30" s="128" t="e">
        <f t="shared" si="2"/>
        <v>#DIV/0!</v>
      </c>
      <c r="O30" s="576"/>
      <c r="P30" s="136"/>
      <c r="Q30" s="137"/>
      <c r="R30" s="131" t="e">
        <f t="shared" si="3"/>
        <v>#DIV/0!</v>
      </c>
      <c r="S30" s="567"/>
      <c r="T30" s="143" t="s">
        <v>82</v>
      </c>
      <c r="U30" s="579"/>
      <c r="V30" s="166"/>
      <c r="W30" s="167"/>
      <c r="X30" s="106"/>
      <c r="Y30" s="107"/>
      <c r="Z30" s="122" t="e">
        <f t="shared" si="4"/>
        <v>#DIV/0!</v>
      </c>
      <c r="AA30" s="582"/>
      <c r="AB30" s="160"/>
      <c r="AC30" s="161"/>
      <c r="AD30" s="112"/>
      <c r="AE30" s="113"/>
      <c r="AF30" s="125" t="e">
        <f t="shared" si="5"/>
        <v>#DIV/0!</v>
      </c>
      <c r="AG30" s="585"/>
      <c r="AH30" s="154"/>
      <c r="AI30" s="155"/>
      <c r="AJ30" s="118"/>
      <c r="AK30" s="119"/>
      <c r="AL30" s="128" t="e">
        <f t="shared" si="6"/>
        <v>#DIV/0!</v>
      </c>
      <c r="AM30" s="588"/>
      <c r="AN30" s="148"/>
      <c r="AO30" s="149"/>
      <c r="AP30" s="136"/>
      <c r="AQ30" s="137"/>
      <c r="AR30" s="131" t="e">
        <f t="shared" si="7"/>
        <v>#DIV/0!</v>
      </c>
    </row>
    <row r="31" spans="1:50" x14ac:dyDescent="0.35">
      <c r="E31" s="91" t="s">
        <v>108</v>
      </c>
      <c r="F31" s="208" cm="1">
        <f t="array" ref="F31">AVERAGE(ABS(F3:F26))</f>
        <v>0.15001795630229756</v>
      </c>
      <c r="I31" s="91" t="s">
        <v>108</v>
      </c>
      <c r="J31" s="208" cm="1">
        <f t="array" ref="J31">AVERAGE(ABS(J3:J26))</f>
        <v>4.6503625237343388E-2</v>
      </c>
      <c r="M31" s="91" t="s">
        <v>108</v>
      </c>
      <c r="N31" s="208" cm="1">
        <f t="array" ref="N31">AVERAGE(ABS(N3:N26))</f>
        <v>3.3444723466589416E-2</v>
      </c>
      <c r="Q31" s="91" t="s">
        <v>108</v>
      </c>
      <c r="R31" s="208" cm="1">
        <f t="array" ref="R31">AVERAGE(ABS(R3:R26))</f>
        <v>1.5675634935489551E-2</v>
      </c>
      <c r="Y31" s="91" t="s">
        <v>108</v>
      </c>
      <c r="Z31" s="208" cm="1">
        <f t="array" ref="Z31">AVERAGE(ABS(Z3:Z26))</f>
        <v>1.0222612002063356</v>
      </c>
      <c r="AE31" s="91" t="s">
        <v>108</v>
      </c>
      <c r="AF31" s="208" cm="1">
        <f t="array" ref="AF31">AVERAGE(ABS(AF3:AF26))</f>
        <v>0.13022043210984902</v>
      </c>
      <c r="AK31" s="91" t="s">
        <v>108</v>
      </c>
      <c r="AL31" s="208" cm="1">
        <f t="array" ref="AL31">AVERAGE(ABS(AL3:AL26))</f>
        <v>0.11816733279572549</v>
      </c>
      <c r="AQ31" s="91" t="s">
        <v>108</v>
      </c>
      <c r="AR31" s="208" cm="1">
        <f t="array" ref="AR31">AVERAGE(ABS(AR3:AR26))</f>
        <v>5.4851630482665011E-2</v>
      </c>
    </row>
  </sheetData>
  <mergeCells count="89">
    <mergeCell ref="U19:U22"/>
    <mergeCell ref="AA19:AA22"/>
    <mergeCell ref="AG19:AG22"/>
    <mergeCell ref="AM19:AM22"/>
    <mergeCell ref="U27:U30"/>
    <mergeCell ref="AA27:AA30"/>
    <mergeCell ref="AG27:AG30"/>
    <mergeCell ref="AM27:AM30"/>
    <mergeCell ref="U23:U26"/>
    <mergeCell ref="AA23:AA26"/>
    <mergeCell ref="AG23:AG26"/>
    <mergeCell ref="AM23:AM26"/>
    <mergeCell ref="U15:U18"/>
    <mergeCell ref="AA15:AA18"/>
    <mergeCell ref="AG15:AG18"/>
    <mergeCell ref="AM15:AM18"/>
    <mergeCell ref="S11:S14"/>
    <mergeCell ref="U11:U14"/>
    <mergeCell ref="AA11:AA14"/>
    <mergeCell ref="AG11:AG14"/>
    <mergeCell ref="AM11:AM14"/>
    <mergeCell ref="U7:U10"/>
    <mergeCell ref="AA7:AA10"/>
    <mergeCell ref="AG7:AG10"/>
    <mergeCell ref="AM7:AM10"/>
    <mergeCell ref="S3:S6"/>
    <mergeCell ref="U3:U6"/>
    <mergeCell ref="AA3:AA6"/>
    <mergeCell ref="AG3:AG6"/>
    <mergeCell ref="AM3:AM6"/>
    <mergeCell ref="S1:T1"/>
    <mergeCell ref="U1:Z1"/>
    <mergeCell ref="AA1:AF1"/>
    <mergeCell ref="AG1:AL1"/>
    <mergeCell ref="AM1:AR1"/>
    <mergeCell ref="S2:T2"/>
    <mergeCell ref="K27:K30"/>
    <mergeCell ref="O27:O30"/>
    <mergeCell ref="O3:O6"/>
    <mergeCell ref="O7:O10"/>
    <mergeCell ref="O11:O14"/>
    <mergeCell ref="O15:O18"/>
    <mergeCell ref="O19:O22"/>
    <mergeCell ref="O23:O26"/>
    <mergeCell ref="S7:S10"/>
    <mergeCell ref="S15:S18"/>
    <mergeCell ref="S23:S26"/>
    <mergeCell ref="S27:S30"/>
    <mergeCell ref="S19:S22"/>
    <mergeCell ref="G1:J1"/>
    <mergeCell ref="K1:N1"/>
    <mergeCell ref="O1:R1"/>
    <mergeCell ref="G27:G30"/>
    <mergeCell ref="G3:G6"/>
    <mergeCell ref="G7:G10"/>
    <mergeCell ref="G11:G14"/>
    <mergeCell ref="G15:G18"/>
    <mergeCell ref="G19:G22"/>
    <mergeCell ref="G23:G26"/>
    <mergeCell ref="K3:K6"/>
    <mergeCell ref="K7:K10"/>
    <mergeCell ref="K11:K14"/>
    <mergeCell ref="K15:K18"/>
    <mergeCell ref="K19:K22"/>
    <mergeCell ref="K23:K26"/>
    <mergeCell ref="A15:A18"/>
    <mergeCell ref="A19:A22"/>
    <mergeCell ref="A23:A26"/>
    <mergeCell ref="A27:A30"/>
    <mergeCell ref="C7:C10"/>
    <mergeCell ref="C11:C14"/>
    <mergeCell ref="C15:C18"/>
    <mergeCell ref="C19:C22"/>
    <mergeCell ref="C23:C26"/>
    <mergeCell ref="C27:C30"/>
    <mergeCell ref="C1:F1"/>
    <mergeCell ref="C3:C6"/>
    <mergeCell ref="A3:A6"/>
    <mergeCell ref="A7:A10"/>
    <mergeCell ref="A11:A14"/>
    <mergeCell ref="A2:B2"/>
    <mergeCell ref="A1:B1"/>
    <mergeCell ref="AU1:AV1"/>
    <mergeCell ref="AT8:AX8"/>
    <mergeCell ref="V2:W2"/>
    <mergeCell ref="AB2:AC2"/>
    <mergeCell ref="AH2:AI2"/>
    <mergeCell ref="AN2:AO2"/>
    <mergeCell ref="AU2:AV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2317-5EE3-4FBC-B29E-0511979B51B9}">
  <sheetPr>
    <tabColor rgb="FFFF0000"/>
  </sheetPr>
  <dimension ref="A1:BO47"/>
  <sheetViews>
    <sheetView topLeftCell="BB1" zoomScale="50" workbookViewId="0">
      <selection activeCell="BC6" sqref="BC6:BF6"/>
    </sheetView>
  </sheetViews>
  <sheetFormatPr defaultRowHeight="14.5" x14ac:dyDescent="0.35"/>
  <cols>
    <col min="1" max="1" width="8.90625" bestFit="1" customWidth="1"/>
    <col min="2" max="2" width="11.81640625" customWidth="1"/>
    <col min="3" max="3" width="13.1796875" customWidth="1"/>
    <col min="4" max="4" width="11.26953125" customWidth="1"/>
    <col min="5" max="5" width="10.453125" bestFit="1" customWidth="1"/>
    <col min="6" max="6" width="10.7265625" customWidth="1"/>
    <col min="7" max="7" width="10.36328125" customWidth="1"/>
    <col min="8" max="8" width="12.7265625" customWidth="1"/>
    <col min="9" max="9" width="11.26953125" customWidth="1"/>
    <col min="10" max="10" width="8.81640625" bestFit="1" customWidth="1"/>
    <col min="11" max="11" width="10.90625" bestFit="1" customWidth="1"/>
    <col min="12" max="12" width="13.1796875" bestFit="1" customWidth="1"/>
    <col min="13" max="13" width="12.36328125" customWidth="1"/>
    <col min="14" max="14" width="11.26953125" customWidth="1"/>
    <col min="16" max="16" width="10.90625" bestFit="1" customWidth="1"/>
    <col min="17" max="17" width="13.1796875" bestFit="1" customWidth="1"/>
    <col min="18" max="18" width="12.26953125" customWidth="1"/>
    <col min="19" max="19" width="11.26953125" customWidth="1"/>
    <col min="21" max="21" width="9.453125" bestFit="1" customWidth="1"/>
    <col min="22" max="22" width="13.1796875" bestFit="1" customWidth="1"/>
    <col min="23" max="23" width="9" bestFit="1" customWidth="1"/>
    <col min="24" max="24" width="12.6328125" customWidth="1"/>
    <col min="25" max="25" width="12" customWidth="1"/>
    <col min="26" max="26" width="11.26953125" customWidth="1"/>
    <col min="27" max="27" width="12.453125" customWidth="1"/>
    <col min="28" max="28" width="12.1796875" customWidth="1"/>
    <col min="29" max="29" width="10.453125" customWidth="1"/>
    <col min="30" max="31" width="13.1796875" bestFit="1" customWidth="1"/>
    <col min="32" max="32" width="12.1796875" customWidth="1"/>
    <col min="33" max="35" width="11.26953125" customWidth="1"/>
    <col min="37" max="37" width="10.90625" bestFit="1" customWidth="1"/>
    <col min="38" max="38" width="13.1796875" bestFit="1" customWidth="1"/>
    <col min="39" max="39" width="12.36328125" customWidth="1"/>
    <col min="40" max="40" width="11.81640625" customWidth="1"/>
    <col min="41" max="42" width="11.26953125" customWidth="1"/>
    <col min="44" max="44" width="10.90625" bestFit="1" customWidth="1"/>
    <col min="45" max="45" width="13.1796875" bestFit="1" customWidth="1"/>
    <col min="46" max="46" width="13.08984375" customWidth="1"/>
    <col min="47" max="47" width="11.6328125" customWidth="1"/>
    <col min="48" max="49" width="11.81640625" customWidth="1"/>
    <col min="51" max="51" width="9.453125" bestFit="1" customWidth="1"/>
    <col min="52" max="52" width="13.1796875" bestFit="1" customWidth="1"/>
    <col min="54" max="54" width="15" customWidth="1"/>
    <col min="55" max="55" width="13.6328125" customWidth="1"/>
    <col min="56" max="56" width="12.54296875" customWidth="1"/>
    <col min="57" max="57" width="12.90625" customWidth="1"/>
    <col min="58" max="58" width="12.6328125" customWidth="1"/>
    <col min="62" max="62" width="11.1796875" customWidth="1"/>
    <col min="63" max="63" width="13.08984375" customWidth="1"/>
    <col min="65" max="65" width="11.54296875" customWidth="1"/>
    <col min="66" max="66" width="22.36328125" customWidth="1"/>
  </cols>
  <sheetData>
    <row r="1" spans="1:67" ht="15" thickBot="1" x14ac:dyDescent="0.4">
      <c r="A1" s="491" t="s">
        <v>85</v>
      </c>
      <c r="B1" s="492"/>
      <c r="C1" s="466" t="s">
        <v>35</v>
      </c>
      <c r="D1" s="467"/>
      <c r="E1" s="467"/>
      <c r="F1" s="467"/>
      <c r="G1" s="468"/>
      <c r="H1" s="493" t="s">
        <v>36</v>
      </c>
      <c r="I1" s="494"/>
      <c r="J1" s="494"/>
      <c r="K1" s="494"/>
      <c r="L1" s="495"/>
      <c r="M1" s="496" t="s">
        <v>38</v>
      </c>
      <c r="N1" s="497"/>
      <c r="O1" s="497"/>
      <c r="P1" s="497"/>
      <c r="Q1" s="498"/>
      <c r="R1" s="499" t="s">
        <v>39</v>
      </c>
      <c r="S1" s="500"/>
      <c r="T1" s="500"/>
      <c r="U1" s="500"/>
      <c r="V1" s="501"/>
      <c r="W1" s="491" t="s">
        <v>86</v>
      </c>
      <c r="X1" s="492"/>
      <c r="Y1" s="466" t="s">
        <v>35</v>
      </c>
      <c r="Z1" s="467"/>
      <c r="AA1" s="467"/>
      <c r="AB1" s="467"/>
      <c r="AC1" s="467"/>
      <c r="AD1" s="467"/>
      <c r="AE1" s="468"/>
      <c r="AF1" s="469" t="s">
        <v>36</v>
      </c>
      <c r="AG1" s="470"/>
      <c r="AH1" s="470"/>
      <c r="AI1" s="470"/>
      <c r="AJ1" s="471"/>
      <c r="AK1" s="471"/>
      <c r="AL1" s="472"/>
      <c r="AM1" s="473" t="s">
        <v>38</v>
      </c>
      <c r="AN1" s="474"/>
      <c r="AO1" s="474"/>
      <c r="AP1" s="474"/>
      <c r="AQ1" s="475"/>
      <c r="AR1" s="475"/>
      <c r="AS1" s="476"/>
      <c r="AT1" s="477" t="s">
        <v>39</v>
      </c>
      <c r="AU1" s="478"/>
      <c r="AV1" s="478"/>
      <c r="AW1" s="478"/>
      <c r="AX1" s="479"/>
      <c r="AY1" s="479"/>
      <c r="AZ1" s="480"/>
    </row>
    <row r="2" spans="1:67" ht="15" thickBot="1" x14ac:dyDescent="0.4">
      <c r="A2" s="481" t="s">
        <v>54</v>
      </c>
      <c r="B2" s="482"/>
      <c r="C2" s="483" t="s">
        <v>87</v>
      </c>
      <c r="D2" s="484"/>
      <c r="E2" s="93" t="s">
        <v>1</v>
      </c>
      <c r="F2" s="94" t="s">
        <v>8</v>
      </c>
      <c r="G2" s="95" t="s">
        <v>10</v>
      </c>
      <c r="H2" s="485" t="s">
        <v>87</v>
      </c>
      <c r="I2" s="486"/>
      <c r="J2" s="97" t="s">
        <v>1</v>
      </c>
      <c r="K2" s="96" t="s">
        <v>8</v>
      </c>
      <c r="L2" s="97" t="s">
        <v>10</v>
      </c>
      <c r="M2" s="487" t="s">
        <v>87</v>
      </c>
      <c r="N2" s="488"/>
      <c r="O2" s="99" t="s">
        <v>1</v>
      </c>
      <c r="P2" s="98" t="s">
        <v>8</v>
      </c>
      <c r="Q2" s="99" t="s">
        <v>10</v>
      </c>
      <c r="R2" s="489" t="s">
        <v>87</v>
      </c>
      <c r="S2" s="490"/>
      <c r="T2" s="101" t="s">
        <v>1</v>
      </c>
      <c r="U2" s="100" t="s">
        <v>8</v>
      </c>
      <c r="V2" s="101" t="s">
        <v>10</v>
      </c>
      <c r="W2" s="481" t="s">
        <v>54</v>
      </c>
      <c r="X2" s="482"/>
      <c r="Y2" s="510" t="s">
        <v>87</v>
      </c>
      <c r="Z2" s="511"/>
      <c r="AA2" s="483" t="s">
        <v>131</v>
      </c>
      <c r="AB2" s="484"/>
      <c r="AC2" s="93" t="s">
        <v>1</v>
      </c>
      <c r="AD2" s="94" t="s">
        <v>8</v>
      </c>
      <c r="AE2" s="95" t="s">
        <v>10</v>
      </c>
      <c r="AF2" s="512" t="s">
        <v>87</v>
      </c>
      <c r="AG2" s="513"/>
      <c r="AH2" s="485" t="s">
        <v>119</v>
      </c>
      <c r="AI2" s="486"/>
      <c r="AJ2" s="97" t="s">
        <v>1</v>
      </c>
      <c r="AK2" s="96" t="s">
        <v>8</v>
      </c>
      <c r="AL2" s="97" t="s">
        <v>10</v>
      </c>
      <c r="AM2" s="514" t="s">
        <v>87</v>
      </c>
      <c r="AN2" s="515"/>
      <c r="AO2" s="487" t="s">
        <v>119</v>
      </c>
      <c r="AP2" s="488"/>
      <c r="AQ2" s="99" t="s">
        <v>1</v>
      </c>
      <c r="AR2" s="98" t="s">
        <v>8</v>
      </c>
      <c r="AS2" s="99" t="s">
        <v>10</v>
      </c>
      <c r="AT2" s="502" t="s">
        <v>87</v>
      </c>
      <c r="AU2" s="503"/>
      <c r="AV2" s="489" t="s">
        <v>119</v>
      </c>
      <c r="AW2" s="490"/>
      <c r="AX2" s="101" t="s">
        <v>1</v>
      </c>
      <c r="AY2" s="100" t="s">
        <v>8</v>
      </c>
      <c r="AZ2" s="101" t="s">
        <v>10</v>
      </c>
      <c r="BJ2" s="483" t="s">
        <v>131</v>
      </c>
      <c r="BK2" s="484"/>
      <c r="BM2" t="s">
        <v>152</v>
      </c>
      <c r="BN2" t="s">
        <v>153</v>
      </c>
      <c r="BO2" t="s">
        <v>154</v>
      </c>
    </row>
    <row r="3" spans="1:67" ht="14.5" customHeight="1" thickBot="1" x14ac:dyDescent="0.4">
      <c r="A3" s="504">
        <v>2020</v>
      </c>
      <c r="B3" s="168" t="s">
        <v>55</v>
      </c>
      <c r="C3" s="289" t="s">
        <v>120</v>
      </c>
      <c r="D3" s="245">
        <v>100</v>
      </c>
      <c r="E3" s="102">
        <v>9298.89</v>
      </c>
      <c r="F3" s="103">
        <v>6638.5</v>
      </c>
      <c r="G3" s="322">
        <f t="shared" ref="G3:G30" si="0">(E3-F3)/F3</f>
        <v>0.40075167583038329</v>
      </c>
      <c r="H3" s="296" t="s">
        <v>120</v>
      </c>
      <c r="I3" s="253">
        <v>100</v>
      </c>
      <c r="J3" s="108">
        <v>2969.4</v>
      </c>
      <c r="K3" s="109">
        <v>2470.5</v>
      </c>
      <c r="L3" s="325">
        <f>(J3-K3)/K3</f>
        <v>0.20194292653309051</v>
      </c>
      <c r="M3" s="297" t="s">
        <v>120</v>
      </c>
      <c r="N3" s="261">
        <v>100</v>
      </c>
      <c r="O3" s="114">
        <v>1570.13</v>
      </c>
      <c r="P3" s="115">
        <v>1584.1</v>
      </c>
      <c r="Q3" s="328">
        <f>(O3-P3)/P3</f>
        <v>-8.8188876964836824E-3</v>
      </c>
      <c r="R3" s="301" t="s">
        <v>120</v>
      </c>
      <c r="S3" s="270">
        <v>100</v>
      </c>
      <c r="T3" s="132">
        <v>1.1041000000000001</v>
      </c>
      <c r="U3" s="133">
        <v>1.0962000000000001</v>
      </c>
      <c r="V3" s="331">
        <f>(T3-U3)/U3</f>
        <v>7.2067141032658433E-3</v>
      </c>
      <c r="W3" s="504">
        <v>2020</v>
      </c>
      <c r="X3" s="168" t="s">
        <v>55</v>
      </c>
      <c r="Y3" s="317" t="s">
        <v>120</v>
      </c>
      <c r="Z3" s="277">
        <v>100</v>
      </c>
      <c r="AA3" s="244" t="s">
        <v>129</v>
      </c>
      <c r="AB3" s="245" t="s">
        <v>142</v>
      </c>
      <c r="AC3" s="102">
        <v>9183</v>
      </c>
      <c r="AD3" s="103">
        <v>6638.5</v>
      </c>
      <c r="AE3" s="322">
        <f t="shared" ref="AE3:AE30" si="1">(AC3-AD3)/AD3</f>
        <v>0.38329441891993671</v>
      </c>
      <c r="AF3" s="305" t="s">
        <v>120</v>
      </c>
      <c r="AG3" s="280">
        <v>100</v>
      </c>
      <c r="AH3" s="252" t="s">
        <v>144</v>
      </c>
      <c r="AI3" s="253" t="s">
        <v>147</v>
      </c>
      <c r="AJ3" s="108">
        <v>3257.62</v>
      </c>
      <c r="AK3" s="109">
        <v>2470.5</v>
      </c>
      <c r="AL3" s="325">
        <f>(AJ3-AK3)/AK3</f>
        <v>0.31860756931795181</v>
      </c>
      <c r="AM3" s="309" t="s">
        <v>120</v>
      </c>
      <c r="AN3" s="281">
        <v>100</v>
      </c>
      <c r="AO3" s="260" t="s">
        <v>149</v>
      </c>
      <c r="AP3" s="261" t="s">
        <v>143</v>
      </c>
      <c r="AQ3" s="114">
        <v>1552.53</v>
      </c>
      <c r="AR3" s="115">
        <v>1584.1</v>
      </c>
      <c r="AS3" s="328">
        <f>(AQ3-AR3)/AR3</f>
        <v>-1.9929297392841321E-2</v>
      </c>
      <c r="AT3" s="313" t="s">
        <v>120</v>
      </c>
      <c r="AU3" s="282">
        <v>100</v>
      </c>
      <c r="AV3" s="269" t="s">
        <v>146</v>
      </c>
      <c r="AW3" s="270" t="s">
        <v>143</v>
      </c>
      <c r="AX3" s="132">
        <v>1.1254</v>
      </c>
      <c r="AY3" s="133">
        <v>1.0962000000000001</v>
      </c>
      <c r="AZ3" s="331">
        <f>(AX3-AY3)/AY3</f>
        <v>2.6637474913336883E-2</v>
      </c>
      <c r="BB3" s="507" t="s">
        <v>169</v>
      </c>
      <c r="BC3" s="508"/>
      <c r="BD3" s="508"/>
      <c r="BE3" s="508"/>
      <c r="BF3" s="509"/>
      <c r="BJ3" s="244" t="s">
        <v>132</v>
      </c>
      <c r="BK3" s="346" t="s">
        <v>136</v>
      </c>
      <c r="BM3" t="s">
        <v>155</v>
      </c>
      <c r="BN3" t="s">
        <v>156</v>
      </c>
      <c r="BO3" t="s">
        <v>157</v>
      </c>
    </row>
    <row r="4" spans="1:67" ht="14.5" customHeight="1" thickBot="1" x14ac:dyDescent="0.4">
      <c r="A4" s="505"/>
      <c r="B4" s="141" t="s">
        <v>56</v>
      </c>
      <c r="C4" s="290" t="s">
        <v>121</v>
      </c>
      <c r="D4" s="321">
        <v>4</v>
      </c>
      <c r="E4" s="104">
        <v>11092.04</v>
      </c>
      <c r="F4" s="105">
        <v>9229.9</v>
      </c>
      <c r="G4" s="323">
        <f t="shared" si="0"/>
        <v>0.2017508315366365</v>
      </c>
      <c r="H4" s="293" t="s">
        <v>121</v>
      </c>
      <c r="I4" s="334">
        <v>2</v>
      </c>
      <c r="J4" s="110">
        <v>3064.82</v>
      </c>
      <c r="K4" s="111">
        <v>3115.9</v>
      </c>
      <c r="L4" s="326">
        <f>(J4-K4)/K4</f>
        <v>-1.6393337398504421E-2</v>
      </c>
      <c r="M4" s="298" t="s">
        <v>121</v>
      </c>
      <c r="N4" s="336">
        <v>2</v>
      </c>
      <c r="O4" s="116">
        <v>1755.34</v>
      </c>
      <c r="P4" s="117">
        <v>1779.9</v>
      </c>
      <c r="Q4" s="329">
        <f>(O4-P4)/P4</f>
        <v>-1.3798528007191512E-2</v>
      </c>
      <c r="R4" s="302" t="s">
        <v>121</v>
      </c>
      <c r="S4" s="335">
        <v>2</v>
      </c>
      <c r="T4" s="134">
        <v>1.1162000000000001</v>
      </c>
      <c r="U4" s="135">
        <v>1.125</v>
      </c>
      <c r="V4" s="332">
        <f>(T4-U4)/U4</f>
        <v>-7.8222222222221506E-3</v>
      </c>
      <c r="W4" s="505"/>
      <c r="X4" s="141" t="s">
        <v>56</v>
      </c>
      <c r="Y4" s="318" t="s">
        <v>121</v>
      </c>
      <c r="Z4" s="349">
        <v>4</v>
      </c>
      <c r="AA4" s="246" t="s">
        <v>130</v>
      </c>
      <c r="AB4" s="247" t="s">
        <v>143</v>
      </c>
      <c r="AC4" s="104">
        <v>11696.69</v>
      </c>
      <c r="AD4" s="105">
        <v>9229.9</v>
      </c>
      <c r="AE4" s="323">
        <f t="shared" si="1"/>
        <v>0.26726075038732827</v>
      </c>
      <c r="AF4" s="306" t="s">
        <v>121</v>
      </c>
      <c r="AG4" s="352">
        <v>2</v>
      </c>
      <c r="AH4" s="254" t="s">
        <v>145</v>
      </c>
      <c r="AI4" s="255" t="s">
        <v>130</v>
      </c>
      <c r="AJ4" s="110">
        <v>3284.36</v>
      </c>
      <c r="AK4" s="111">
        <v>3115.9</v>
      </c>
      <c r="AL4" s="326">
        <f>(AJ4-AK4)/AK4</f>
        <v>5.4064636220674617E-2</v>
      </c>
      <c r="AM4" s="310" t="s">
        <v>121</v>
      </c>
      <c r="AN4" s="354">
        <v>2</v>
      </c>
      <c r="AO4" s="262" t="s">
        <v>150</v>
      </c>
      <c r="AP4" s="263" t="s">
        <v>143</v>
      </c>
      <c r="AQ4" s="116">
        <v>1585.71</v>
      </c>
      <c r="AR4" s="117">
        <v>1779.9</v>
      </c>
      <c r="AS4" s="329">
        <f>(AQ4-AR4)/AR4</f>
        <v>-0.10910163492331032</v>
      </c>
      <c r="AT4" s="314" t="s">
        <v>121</v>
      </c>
      <c r="AU4" s="357">
        <v>2</v>
      </c>
      <c r="AV4" s="271" t="s">
        <v>129</v>
      </c>
      <c r="AW4" s="272" t="s">
        <v>143</v>
      </c>
      <c r="AX4" s="134">
        <v>1.1288</v>
      </c>
      <c r="AY4" s="135">
        <v>1.125</v>
      </c>
      <c r="AZ4" s="332">
        <f>(AX4-AY4)/AY4</f>
        <v>3.3777777777778007E-3</v>
      </c>
      <c r="BB4" s="203" t="s">
        <v>98</v>
      </c>
      <c r="BC4" s="204" t="s">
        <v>35</v>
      </c>
      <c r="BD4" s="205" t="s">
        <v>36</v>
      </c>
      <c r="BE4" s="206" t="s">
        <v>38</v>
      </c>
      <c r="BF4" s="207" t="s">
        <v>39</v>
      </c>
      <c r="BJ4" s="246" t="s">
        <v>133</v>
      </c>
      <c r="BK4" s="247" t="s">
        <v>137</v>
      </c>
      <c r="BM4" t="s">
        <v>158</v>
      </c>
      <c r="BN4" t="s">
        <v>156</v>
      </c>
      <c r="BO4" t="s">
        <v>159</v>
      </c>
    </row>
    <row r="5" spans="1:67" ht="14.5" customHeight="1" x14ac:dyDescent="0.35">
      <c r="A5" s="505"/>
      <c r="B5" s="141" t="s">
        <v>57</v>
      </c>
      <c r="C5" s="291" t="s">
        <v>122</v>
      </c>
      <c r="D5" s="249">
        <v>8.0000000000000002E-3</v>
      </c>
      <c r="E5" s="104">
        <v>12964.11</v>
      </c>
      <c r="F5" s="105">
        <v>10620.5</v>
      </c>
      <c r="G5" s="323">
        <f t="shared" si="0"/>
        <v>0.22066851843133567</v>
      </c>
      <c r="H5" s="294" t="s">
        <v>122</v>
      </c>
      <c r="I5" s="257">
        <v>8.0000000000000002E-3</v>
      </c>
      <c r="J5" s="110">
        <v>3539.12</v>
      </c>
      <c r="K5" s="111">
        <v>3380.8</v>
      </c>
      <c r="L5" s="326">
        <f>(J5-K5)/K5</f>
        <v>4.6829152863227551E-2</v>
      </c>
      <c r="M5" s="299" t="s">
        <v>122</v>
      </c>
      <c r="N5" s="265">
        <v>8.0000000000000002E-3</v>
      </c>
      <c r="O5" s="116">
        <v>1980.89</v>
      </c>
      <c r="P5" s="117">
        <v>1912.3</v>
      </c>
      <c r="Q5" s="329">
        <f>(O5-P5)/P5</f>
        <v>3.586780316895892E-2</v>
      </c>
      <c r="R5" s="303" t="s">
        <v>122</v>
      </c>
      <c r="S5" s="274">
        <v>8.0000000000000002E-3</v>
      </c>
      <c r="T5" s="134">
        <v>1.1938</v>
      </c>
      <c r="U5" s="135">
        <v>1.1747000000000001</v>
      </c>
      <c r="V5" s="332">
        <f>(T5-U5)/U5</f>
        <v>1.6259470503107085E-2</v>
      </c>
      <c r="W5" s="505"/>
      <c r="X5" s="141" t="s">
        <v>57</v>
      </c>
      <c r="Y5" s="319" t="s">
        <v>122</v>
      </c>
      <c r="Z5" s="278">
        <v>8.0000000000000002E-3</v>
      </c>
      <c r="AA5" s="248" t="s">
        <v>140</v>
      </c>
      <c r="AB5" s="249" t="s">
        <v>143</v>
      </c>
      <c r="AC5" s="104">
        <v>14938.12</v>
      </c>
      <c r="AD5" s="105">
        <v>10620.5</v>
      </c>
      <c r="AE5" s="323">
        <f t="shared" si="1"/>
        <v>0.40653641542300278</v>
      </c>
      <c r="AF5" s="307" t="s">
        <v>122</v>
      </c>
      <c r="AG5" s="283">
        <v>8.0000000000000002E-3</v>
      </c>
      <c r="AH5" s="256" t="s">
        <v>142</v>
      </c>
      <c r="AI5" s="257" t="s">
        <v>129</v>
      </c>
      <c r="AJ5" s="110">
        <v>3311.63</v>
      </c>
      <c r="AK5" s="111">
        <v>3380.8</v>
      </c>
      <c r="AL5" s="326">
        <f>(AJ5-AK5)/AK5</f>
        <v>-2.0459654519640342E-2</v>
      </c>
      <c r="AM5" s="311" t="s">
        <v>122</v>
      </c>
      <c r="AN5" s="284">
        <v>8.0000000000000002E-3</v>
      </c>
      <c r="AO5" s="264" t="s">
        <v>142</v>
      </c>
      <c r="AP5" s="265" t="s">
        <v>143</v>
      </c>
      <c r="AQ5" s="116">
        <v>1620.01</v>
      </c>
      <c r="AR5" s="117">
        <v>1912.3</v>
      </c>
      <c r="AS5" s="329">
        <f>(AQ5-AR5)/AR5</f>
        <v>-0.15284735658630966</v>
      </c>
      <c r="AT5" s="315" t="s">
        <v>122</v>
      </c>
      <c r="AU5" s="285">
        <v>8.0000000000000002E-3</v>
      </c>
      <c r="AV5" s="273" t="s">
        <v>151</v>
      </c>
      <c r="AW5" s="274" t="s">
        <v>143</v>
      </c>
      <c r="AX5" s="134">
        <v>1.1323000000000001</v>
      </c>
      <c r="AY5" s="135">
        <v>1.1747000000000001</v>
      </c>
      <c r="AZ5" s="332">
        <f>(AX5-AY5)/AY5</f>
        <v>-3.6094321954541576E-2</v>
      </c>
      <c r="BB5" s="171" t="s">
        <v>99</v>
      </c>
      <c r="BC5" s="173">
        <v>88812.1</v>
      </c>
      <c r="BD5" s="178">
        <v>6845.5</v>
      </c>
      <c r="BE5" s="183">
        <v>4361.55</v>
      </c>
      <c r="BF5" s="188">
        <v>1.1746000000000001</v>
      </c>
      <c r="BJ5" s="248" t="s">
        <v>134</v>
      </c>
      <c r="BK5" s="347" t="s">
        <v>138</v>
      </c>
      <c r="BM5" t="s">
        <v>148</v>
      </c>
      <c r="BN5" t="s">
        <v>160</v>
      </c>
      <c r="BO5" t="s">
        <v>161</v>
      </c>
    </row>
    <row r="6" spans="1:67" ht="15" customHeight="1" thickBot="1" x14ac:dyDescent="0.4">
      <c r="A6" s="506"/>
      <c r="B6" s="141" t="s">
        <v>58</v>
      </c>
      <c r="C6" s="292" t="s">
        <v>123</v>
      </c>
      <c r="D6" s="250">
        <v>2.9103E-2</v>
      </c>
      <c r="E6" s="106">
        <v>20520.349999999999</v>
      </c>
      <c r="F6" s="107">
        <v>29359.9</v>
      </c>
      <c r="G6" s="324">
        <f t="shared" si="0"/>
        <v>-0.30107561674256395</v>
      </c>
      <c r="H6" s="295" t="s">
        <v>123</v>
      </c>
      <c r="I6" s="258">
        <v>5.0930000000000003E-3</v>
      </c>
      <c r="J6" s="112">
        <v>3675.88</v>
      </c>
      <c r="K6" s="113">
        <v>3756.1</v>
      </c>
      <c r="L6" s="327">
        <f>(J6-K6)/K6</f>
        <v>-2.1357258858922767E-2</v>
      </c>
      <c r="M6" s="300" t="s">
        <v>123</v>
      </c>
      <c r="N6" s="267">
        <v>5.5599999999999998E-3</v>
      </c>
      <c r="O6" s="118">
        <v>1831.07</v>
      </c>
      <c r="P6" s="119">
        <v>1895.1</v>
      </c>
      <c r="Q6" s="330">
        <f>(O6-P6)/P6</f>
        <v>-3.3787135243522753E-2</v>
      </c>
      <c r="R6" s="304" t="s">
        <v>123</v>
      </c>
      <c r="S6" s="275">
        <v>3.1589999999999999E-3</v>
      </c>
      <c r="T6" s="136">
        <v>1.2096</v>
      </c>
      <c r="U6" s="137">
        <v>1.2213000000000001</v>
      </c>
      <c r="V6" s="333">
        <f>(T6-U6)/U6</f>
        <v>-9.57995578481949E-3</v>
      </c>
      <c r="W6" s="506"/>
      <c r="X6" s="141" t="s">
        <v>58</v>
      </c>
      <c r="Y6" s="320" t="s">
        <v>123</v>
      </c>
      <c r="Z6" s="279">
        <v>2.9103E-2</v>
      </c>
      <c r="AA6" s="166" t="s">
        <v>141</v>
      </c>
      <c r="AB6" s="250" t="s">
        <v>143</v>
      </c>
      <c r="AC6" s="106">
        <v>19077.84</v>
      </c>
      <c r="AD6" s="107">
        <v>29359.9</v>
      </c>
      <c r="AE6" s="324">
        <f t="shared" si="1"/>
        <v>-0.35020759607491853</v>
      </c>
      <c r="AF6" s="308" t="s">
        <v>123</v>
      </c>
      <c r="AG6" s="286">
        <v>5.0949999999999997E-3</v>
      </c>
      <c r="AH6" s="160" t="s">
        <v>146</v>
      </c>
      <c r="AI6" s="258" t="s">
        <v>148</v>
      </c>
      <c r="AJ6" s="112">
        <v>3339.11</v>
      </c>
      <c r="AK6" s="113">
        <v>3756.1</v>
      </c>
      <c r="AL6" s="327">
        <f>(AJ6-AK6)/AK6</f>
        <v>-0.11101674609302196</v>
      </c>
      <c r="AM6" s="312" t="s">
        <v>123</v>
      </c>
      <c r="AN6" s="287">
        <v>5.5599999999999998E-3</v>
      </c>
      <c r="AO6" s="266" t="s">
        <v>143</v>
      </c>
      <c r="AP6" s="267" t="s">
        <v>143</v>
      </c>
      <c r="AQ6" s="118">
        <v>1654.83</v>
      </c>
      <c r="AR6" s="119">
        <v>1895.1</v>
      </c>
      <c r="AS6" s="330">
        <f>(AQ6-AR6)/AR6</f>
        <v>-0.12678486623397181</v>
      </c>
      <c r="AT6" s="316" t="s">
        <v>123</v>
      </c>
      <c r="AU6" s="288">
        <v>3.1589999999999999E-3</v>
      </c>
      <c r="AV6" s="148" t="s">
        <v>150</v>
      </c>
      <c r="AW6" s="275" t="s">
        <v>143</v>
      </c>
      <c r="AX6" s="136">
        <v>1.1358999999999999</v>
      </c>
      <c r="AY6" s="137">
        <v>1.2213000000000001</v>
      </c>
      <c r="AZ6" s="333">
        <f>(AX6-AY6)/AY6</f>
        <v>-6.9925489232784854E-2</v>
      </c>
      <c r="BB6" s="171" t="s">
        <v>1</v>
      </c>
      <c r="BC6" s="173">
        <v>2449202.48</v>
      </c>
      <c r="BD6" s="178">
        <v>3934.46</v>
      </c>
      <c r="BE6" s="183">
        <v>2528.42</v>
      </c>
      <c r="BF6" s="188">
        <v>1.2084999999999999</v>
      </c>
      <c r="BJ6" s="166" t="s">
        <v>135</v>
      </c>
      <c r="BK6" s="167" t="s">
        <v>139</v>
      </c>
      <c r="BM6" t="s">
        <v>147</v>
      </c>
      <c r="BN6" t="s">
        <v>162</v>
      </c>
      <c r="BO6" t="s">
        <v>163</v>
      </c>
    </row>
    <row r="7" spans="1:67" ht="14.5" customHeight="1" thickBot="1" x14ac:dyDescent="0.4">
      <c r="A7" s="504">
        <v>2021</v>
      </c>
      <c r="B7" s="168" t="s">
        <v>59</v>
      </c>
      <c r="C7" s="289" t="s">
        <v>120</v>
      </c>
      <c r="D7" s="245">
        <v>200</v>
      </c>
      <c r="E7" s="102">
        <v>53849.7</v>
      </c>
      <c r="F7" s="103">
        <v>58718.3</v>
      </c>
      <c r="G7" s="322">
        <f t="shared" si="0"/>
        <v>-8.2914525795195121E-2</v>
      </c>
      <c r="H7" s="296" t="s">
        <v>120</v>
      </c>
      <c r="I7" s="253">
        <v>100</v>
      </c>
      <c r="J7" s="108">
        <v>3916.31</v>
      </c>
      <c r="K7" s="109">
        <v>4019.9</v>
      </c>
      <c r="L7" s="325">
        <f t="shared" ref="L7:L30" si="2">(J7-K7)/K7</f>
        <v>-2.5769297743725005E-2</v>
      </c>
      <c r="M7" s="297" t="s">
        <v>120</v>
      </c>
      <c r="N7" s="261">
        <v>100</v>
      </c>
      <c r="O7" s="114">
        <v>1736.08</v>
      </c>
      <c r="P7" s="115">
        <v>1727.3</v>
      </c>
      <c r="Q7" s="328">
        <f t="shared" ref="Q7:Q30" si="3">(O7-P7)/P7</f>
        <v>5.0830776356162637E-3</v>
      </c>
      <c r="R7" s="301" t="s">
        <v>120</v>
      </c>
      <c r="S7" s="270">
        <v>100</v>
      </c>
      <c r="T7" s="132">
        <v>1.2074</v>
      </c>
      <c r="U7" s="133">
        <v>1.1775</v>
      </c>
      <c r="V7" s="331">
        <f t="shared" ref="V7:V30" si="4">(T7-U7)/U7</f>
        <v>2.5392781316348229E-2</v>
      </c>
      <c r="W7" s="504">
        <v>2021</v>
      </c>
      <c r="X7" s="168" t="s">
        <v>59</v>
      </c>
      <c r="Y7" s="317" t="s">
        <v>120</v>
      </c>
      <c r="Z7" s="277">
        <v>200</v>
      </c>
      <c r="AA7" s="244" t="s">
        <v>141</v>
      </c>
      <c r="AB7" s="245" t="s">
        <v>145</v>
      </c>
      <c r="AC7" s="102">
        <v>36885.01</v>
      </c>
      <c r="AD7" s="103">
        <v>58718.3</v>
      </c>
      <c r="AE7" s="322">
        <f t="shared" si="1"/>
        <v>-0.37183109865237923</v>
      </c>
      <c r="AF7" s="305" t="s">
        <v>120</v>
      </c>
      <c r="AG7" s="280">
        <v>100</v>
      </c>
      <c r="AH7" s="348" t="s">
        <v>144</v>
      </c>
      <c r="AI7" s="253" t="s">
        <v>141</v>
      </c>
      <c r="AJ7" s="108">
        <v>3794.59</v>
      </c>
      <c r="AK7" s="109">
        <v>4019.9</v>
      </c>
      <c r="AL7" s="325">
        <f t="shared" ref="AL7:AL30" si="5">(AJ7-AK7)/AK7</f>
        <v>-5.6048657926814086E-2</v>
      </c>
      <c r="AM7" s="309" t="s">
        <v>120</v>
      </c>
      <c r="AN7" s="281">
        <v>100</v>
      </c>
      <c r="AO7" s="260" t="s">
        <v>149</v>
      </c>
      <c r="AP7" s="261" t="s">
        <v>140</v>
      </c>
      <c r="AQ7" s="114">
        <v>1941.2</v>
      </c>
      <c r="AR7" s="115">
        <v>1727.3</v>
      </c>
      <c r="AS7" s="328">
        <f t="shared" ref="AS7:AS30" si="6">(AQ7-AR7)/AR7</f>
        <v>0.12383488681757662</v>
      </c>
      <c r="AT7" s="313" t="s">
        <v>120</v>
      </c>
      <c r="AU7" s="282">
        <v>100</v>
      </c>
      <c r="AV7" s="269" t="s">
        <v>140</v>
      </c>
      <c r="AW7" s="270" t="s">
        <v>143</v>
      </c>
      <c r="AX7" s="132">
        <v>1.228</v>
      </c>
      <c r="AY7" s="133">
        <v>1.1775</v>
      </c>
      <c r="AZ7" s="331">
        <f t="shared" ref="AZ7:AZ30" si="7">(AX7-AY7)/AY7</f>
        <v>4.2887473460721859E-2</v>
      </c>
      <c r="BB7" s="171" t="s">
        <v>10</v>
      </c>
      <c r="BC7" s="174">
        <f>(BC6-BC5)/BC5</f>
        <v>26.577351284340757</v>
      </c>
      <c r="BD7" s="179">
        <f t="shared" ref="BD7:BF7" si="8">(BD6-BD5)/BD5</f>
        <v>-0.42524870352786504</v>
      </c>
      <c r="BE7" s="184">
        <f>(BE6-BE5)/BE5</f>
        <v>-0.42029324437413307</v>
      </c>
      <c r="BF7" s="189">
        <f t="shared" si="8"/>
        <v>2.8860888813212852E-2</v>
      </c>
      <c r="BM7" t="s">
        <v>151</v>
      </c>
      <c r="BN7" t="s">
        <v>164</v>
      </c>
      <c r="BO7" t="s">
        <v>165</v>
      </c>
    </row>
    <row r="8" spans="1:67" ht="14.5" customHeight="1" x14ac:dyDescent="0.35">
      <c r="A8" s="505"/>
      <c r="B8" s="141" t="s">
        <v>60</v>
      </c>
      <c r="C8" s="290" t="s">
        <v>121</v>
      </c>
      <c r="D8" s="321">
        <v>3</v>
      </c>
      <c r="E8" s="104">
        <v>39282.78</v>
      </c>
      <c r="F8" s="105">
        <v>33543.599999999999</v>
      </c>
      <c r="G8" s="323">
        <f t="shared" si="0"/>
        <v>0.17109612563946627</v>
      </c>
      <c r="H8" s="293" t="s">
        <v>121</v>
      </c>
      <c r="I8" s="334">
        <v>2</v>
      </c>
      <c r="J8" s="110">
        <v>4218.21</v>
      </c>
      <c r="K8" s="111">
        <v>4319.8999999999996</v>
      </c>
      <c r="L8" s="326">
        <f t="shared" si="2"/>
        <v>-2.353989675686928E-2</v>
      </c>
      <c r="M8" s="298" t="s">
        <v>121</v>
      </c>
      <c r="N8" s="339">
        <v>2</v>
      </c>
      <c r="O8" s="116">
        <v>1919.3</v>
      </c>
      <c r="P8" s="117">
        <v>1776.8</v>
      </c>
      <c r="Q8" s="329">
        <f t="shared" si="3"/>
        <v>8.0200360198108958E-2</v>
      </c>
      <c r="R8" s="302" t="s">
        <v>121</v>
      </c>
      <c r="S8" s="340">
        <v>2</v>
      </c>
      <c r="T8" s="134">
        <v>1.2242</v>
      </c>
      <c r="U8" s="135">
        <v>1.1848000000000001</v>
      </c>
      <c r="V8" s="332">
        <f t="shared" si="4"/>
        <v>3.3254557731262555E-2</v>
      </c>
      <c r="W8" s="505"/>
      <c r="X8" s="141" t="s">
        <v>60</v>
      </c>
      <c r="Y8" s="318" t="s">
        <v>121</v>
      </c>
      <c r="Z8" s="350">
        <v>3</v>
      </c>
      <c r="AA8" s="246" t="s">
        <v>129</v>
      </c>
      <c r="AB8" s="251" t="s">
        <v>143</v>
      </c>
      <c r="AC8" s="104">
        <v>46635.7</v>
      </c>
      <c r="AD8" s="105">
        <v>33543.599999999999</v>
      </c>
      <c r="AE8" s="323">
        <f t="shared" si="1"/>
        <v>0.39030098140927028</v>
      </c>
      <c r="AF8" s="306" t="s">
        <v>121</v>
      </c>
      <c r="AG8" s="351">
        <v>2</v>
      </c>
      <c r="AH8" s="254" t="s">
        <v>147</v>
      </c>
      <c r="AI8" s="259" t="s">
        <v>140</v>
      </c>
      <c r="AJ8" s="110">
        <v>3833.47</v>
      </c>
      <c r="AK8" s="111">
        <v>4319.8999999999996</v>
      </c>
      <c r="AL8" s="326">
        <f t="shared" si="5"/>
        <v>-0.11260214356813812</v>
      </c>
      <c r="AM8" s="310" t="s">
        <v>121</v>
      </c>
      <c r="AN8" s="355">
        <v>2</v>
      </c>
      <c r="AO8" s="262" t="s">
        <v>150</v>
      </c>
      <c r="AP8" s="268" t="s">
        <v>143</v>
      </c>
      <c r="AQ8" s="116">
        <v>1990.1</v>
      </c>
      <c r="AR8" s="117">
        <v>1776.8</v>
      </c>
      <c r="AS8" s="329">
        <f t="shared" si="6"/>
        <v>0.12004727600180097</v>
      </c>
      <c r="AT8" s="314" t="s">
        <v>121</v>
      </c>
      <c r="AU8" s="356">
        <v>2</v>
      </c>
      <c r="AV8" s="271" t="s">
        <v>146</v>
      </c>
      <c r="AW8" s="276" t="s">
        <v>143</v>
      </c>
      <c r="AX8" s="134">
        <v>1.2332000000000001</v>
      </c>
      <c r="AY8" s="135">
        <v>1.1848000000000001</v>
      </c>
      <c r="AZ8" s="332">
        <f t="shared" si="7"/>
        <v>4.0850776502363267E-2</v>
      </c>
      <c r="BB8" s="229" t="s">
        <v>120</v>
      </c>
      <c r="BC8" s="363">
        <v>100</v>
      </c>
      <c r="BD8" s="364">
        <v>100</v>
      </c>
      <c r="BE8" s="365">
        <v>100</v>
      </c>
      <c r="BF8" s="366">
        <v>100</v>
      </c>
      <c r="BM8" t="s">
        <v>166</v>
      </c>
      <c r="BN8" t="s">
        <v>167</v>
      </c>
      <c r="BO8" t="s">
        <v>168</v>
      </c>
    </row>
    <row r="9" spans="1:67" ht="14.5" customHeight="1" x14ac:dyDescent="0.35">
      <c r="A9" s="505"/>
      <c r="B9" s="141" t="s">
        <v>61</v>
      </c>
      <c r="C9" s="291" t="s">
        <v>122</v>
      </c>
      <c r="D9" s="249">
        <v>8.0000000000000002E-3</v>
      </c>
      <c r="E9" s="104">
        <v>52729.56</v>
      </c>
      <c r="F9" s="105">
        <v>48146</v>
      </c>
      <c r="G9" s="323">
        <f t="shared" si="0"/>
        <v>9.5201262825572175E-2</v>
      </c>
      <c r="H9" s="294" t="s">
        <v>122</v>
      </c>
      <c r="I9" s="257">
        <v>8.0000000000000002E-3</v>
      </c>
      <c r="J9" s="110">
        <v>4543.07</v>
      </c>
      <c r="K9" s="111">
        <v>4357</v>
      </c>
      <c r="L9" s="326">
        <f t="shared" si="2"/>
        <v>4.2705990360339618E-2</v>
      </c>
      <c r="M9" s="299" t="s">
        <v>122</v>
      </c>
      <c r="N9" s="265">
        <v>8.0000000000000002E-3</v>
      </c>
      <c r="O9" s="116">
        <v>1827.74</v>
      </c>
      <c r="P9" s="117">
        <v>1757.7</v>
      </c>
      <c r="Q9" s="329">
        <f t="shared" si="3"/>
        <v>3.9847528019571012E-2</v>
      </c>
      <c r="R9" s="303" t="s">
        <v>122</v>
      </c>
      <c r="S9" s="274">
        <v>8.0000000000000002E-3</v>
      </c>
      <c r="T9" s="134">
        <v>1.1868000000000001</v>
      </c>
      <c r="U9" s="135">
        <v>1.1594</v>
      </c>
      <c r="V9" s="332">
        <f t="shared" si="4"/>
        <v>2.3632913575987659E-2</v>
      </c>
      <c r="W9" s="505"/>
      <c r="X9" s="141" t="s">
        <v>61</v>
      </c>
      <c r="Y9" s="319" t="s">
        <v>122</v>
      </c>
      <c r="Z9" s="278">
        <v>8.0000000000000002E-3</v>
      </c>
      <c r="AA9" s="248" t="s">
        <v>140</v>
      </c>
      <c r="AB9" s="249" t="s">
        <v>143</v>
      </c>
      <c r="AC9" s="104">
        <v>59116.2</v>
      </c>
      <c r="AD9" s="105">
        <v>48146</v>
      </c>
      <c r="AE9" s="323">
        <f t="shared" si="1"/>
        <v>0.22785278112408086</v>
      </c>
      <c r="AF9" s="307" t="s">
        <v>122</v>
      </c>
      <c r="AG9" s="283">
        <v>8.0000000000000002E-3</v>
      </c>
      <c r="AH9" s="256" t="s">
        <v>130</v>
      </c>
      <c r="AI9" s="257" t="s">
        <v>143</v>
      </c>
      <c r="AJ9" s="110">
        <v>3873.18</v>
      </c>
      <c r="AK9" s="111">
        <v>4357</v>
      </c>
      <c r="AL9" s="326">
        <f t="shared" si="5"/>
        <v>-0.11104429653431264</v>
      </c>
      <c r="AM9" s="311" t="s">
        <v>122</v>
      </c>
      <c r="AN9" s="284">
        <v>8.0000000000000002E-3</v>
      </c>
      <c r="AO9" s="264" t="s">
        <v>142</v>
      </c>
      <c r="AP9" s="265" t="s">
        <v>143</v>
      </c>
      <c r="AQ9" s="116">
        <v>2040.8</v>
      </c>
      <c r="AR9" s="117">
        <v>1757.7</v>
      </c>
      <c r="AS9" s="329">
        <f t="shared" si="6"/>
        <v>0.16106275246060187</v>
      </c>
      <c r="AT9" s="315" t="s">
        <v>122</v>
      </c>
      <c r="AU9" s="285">
        <v>8.0000000000000002E-3</v>
      </c>
      <c r="AV9" s="273" t="s">
        <v>151</v>
      </c>
      <c r="AW9" s="274" t="s">
        <v>143</v>
      </c>
      <c r="AX9" s="134">
        <v>1.2385999999999999</v>
      </c>
      <c r="AY9" s="135">
        <v>1.1594</v>
      </c>
      <c r="AZ9" s="332">
        <f t="shared" si="7"/>
        <v>6.831119544592025E-2</v>
      </c>
      <c r="BB9" s="338" t="s">
        <v>121</v>
      </c>
      <c r="BC9" s="367">
        <v>4</v>
      </c>
      <c r="BD9" s="368">
        <v>2</v>
      </c>
      <c r="BE9" s="369">
        <v>2</v>
      </c>
      <c r="BF9" s="370">
        <v>2</v>
      </c>
    </row>
    <row r="10" spans="1:67" ht="15" customHeight="1" thickBot="1" x14ac:dyDescent="0.4">
      <c r="A10" s="505"/>
      <c r="B10" s="141" t="s">
        <v>62</v>
      </c>
      <c r="C10" s="292" t="s">
        <v>123</v>
      </c>
      <c r="D10" s="250">
        <v>2.8694999999999998E-2</v>
      </c>
      <c r="E10" s="106">
        <v>61821.32</v>
      </c>
      <c r="F10" s="107">
        <v>47738</v>
      </c>
      <c r="G10" s="324">
        <f t="shared" si="0"/>
        <v>0.29501277808035525</v>
      </c>
      <c r="H10" s="295" t="s">
        <v>123</v>
      </c>
      <c r="I10" s="258">
        <v>5.3249999999999999E-3</v>
      </c>
      <c r="J10" s="112">
        <v>4531.93</v>
      </c>
      <c r="K10" s="113">
        <v>4766.2</v>
      </c>
      <c r="L10" s="327">
        <f t="shared" si="2"/>
        <v>-4.9152364567160323E-2</v>
      </c>
      <c r="M10" s="300" t="s">
        <v>123</v>
      </c>
      <c r="N10" s="267">
        <v>5.6100000000000004E-3</v>
      </c>
      <c r="O10" s="118">
        <v>1797.62</v>
      </c>
      <c r="P10" s="119">
        <v>1828.6</v>
      </c>
      <c r="Q10" s="330">
        <f t="shared" si="3"/>
        <v>-1.6941922782456535E-2</v>
      </c>
      <c r="R10" s="304" t="s">
        <v>123</v>
      </c>
      <c r="S10" s="275">
        <v>3.1180000000000001E-3</v>
      </c>
      <c r="T10" s="136">
        <v>1.1337999999999999</v>
      </c>
      <c r="U10" s="137">
        <v>1.1368</v>
      </c>
      <c r="V10" s="333">
        <f t="shared" si="4"/>
        <v>-2.6389866291345121E-3</v>
      </c>
      <c r="W10" s="505"/>
      <c r="X10" s="141" t="s">
        <v>62</v>
      </c>
      <c r="Y10" s="320" t="s">
        <v>123</v>
      </c>
      <c r="Z10" s="279">
        <v>2.8694999999999998E-2</v>
      </c>
      <c r="AA10" s="166" t="s">
        <v>130</v>
      </c>
      <c r="AB10" s="250" t="s">
        <v>143</v>
      </c>
      <c r="AC10" s="106">
        <v>74936.69</v>
      </c>
      <c r="AD10" s="107">
        <v>47738</v>
      </c>
      <c r="AE10" s="324">
        <f t="shared" si="1"/>
        <v>0.56974925635761875</v>
      </c>
      <c r="AF10" s="308" t="s">
        <v>123</v>
      </c>
      <c r="AG10" s="286">
        <v>5.3249999999999999E-3</v>
      </c>
      <c r="AH10" s="160" t="s">
        <v>150</v>
      </c>
      <c r="AI10" s="258" t="s">
        <v>143</v>
      </c>
      <c r="AJ10" s="112">
        <v>3913.31</v>
      </c>
      <c r="AK10" s="113">
        <v>4766.2</v>
      </c>
      <c r="AL10" s="327">
        <f t="shared" si="5"/>
        <v>-0.17894549116696737</v>
      </c>
      <c r="AM10" s="312" t="s">
        <v>123</v>
      </c>
      <c r="AN10" s="287">
        <v>5.6100000000000004E-3</v>
      </c>
      <c r="AO10" s="266" t="s">
        <v>130</v>
      </c>
      <c r="AP10" s="267" t="s">
        <v>143</v>
      </c>
      <c r="AQ10" s="118">
        <v>2092.91</v>
      </c>
      <c r="AR10" s="119">
        <v>1828.6</v>
      </c>
      <c r="AS10" s="330">
        <f t="shared" si="6"/>
        <v>0.14454227277698783</v>
      </c>
      <c r="AT10" s="316" t="s">
        <v>123</v>
      </c>
      <c r="AU10" s="288">
        <v>3.1180000000000001E-3</v>
      </c>
      <c r="AV10" s="148" t="s">
        <v>143</v>
      </c>
      <c r="AW10" s="275" t="s">
        <v>143</v>
      </c>
      <c r="AX10" s="136">
        <v>1.244</v>
      </c>
      <c r="AY10" s="137">
        <v>1.1368</v>
      </c>
      <c r="AZ10" s="333">
        <f t="shared" si="7"/>
        <v>9.4299788881069629E-2</v>
      </c>
      <c r="BB10" s="338" t="s">
        <v>170</v>
      </c>
      <c r="BC10" s="359">
        <v>8.0000000000000002E-3</v>
      </c>
      <c r="BD10" s="360">
        <v>8.0000000000000002E-3</v>
      </c>
      <c r="BE10" s="361">
        <v>8.0000000000000002E-3</v>
      </c>
      <c r="BF10" s="362">
        <v>8.0000000000000002E-3</v>
      </c>
    </row>
    <row r="11" spans="1:67" ht="14.5" customHeight="1" x14ac:dyDescent="0.35">
      <c r="A11" s="504">
        <v>2022</v>
      </c>
      <c r="B11" s="168" t="s">
        <v>63</v>
      </c>
      <c r="C11" s="289" t="s">
        <v>120</v>
      </c>
      <c r="D11" s="245">
        <v>200</v>
      </c>
      <c r="E11" s="102">
        <v>48050.7</v>
      </c>
      <c r="F11" s="103">
        <v>46297</v>
      </c>
      <c r="G11" s="322">
        <f t="shared" si="0"/>
        <v>3.7879344233967584E-2</v>
      </c>
      <c r="H11" s="296" t="s">
        <v>120</v>
      </c>
      <c r="I11" s="253">
        <v>100</v>
      </c>
      <c r="J11" s="108">
        <v>4323.18</v>
      </c>
      <c r="K11" s="109">
        <v>4545.8599999999997</v>
      </c>
      <c r="L11" s="325">
        <f t="shared" si="2"/>
        <v>-4.8985230517437715E-2</v>
      </c>
      <c r="M11" s="297" t="s">
        <v>120</v>
      </c>
      <c r="N11" s="261">
        <v>100</v>
      </c>
      <c r="O11" s="114">
        <v>1959.51</v>
      </c>
      <c r="P11" s="115">
        <v>1951.1</v>
      </c>
      <c r="Q11" s="328">
        <f t="shared" si="3"/>
        <v>4.3103890113269858E-3</v>
      </c>
      <c r="R11" s="301" t="s">
        <v>120</v>
      </c>
      <c r="S11" s="270">
        <v>100</v>
      </c>
      <c r="T11" s="132">
        <v>1.1142000000000001</v>
      </c>
      <c r="U11" s="133">
        <v>1.1052999999999999</v>
      </c>
      <c r="V11" s="331">
        <f t="shared" si="4"/>
        <v>8.0521125486294493E-3</v>
      </c>
      <c r="W11" s="504">
        <v>2022</v>
      </c>
      <c r="X11" s="168" t="s">
        <v>63</v>
      </c>
      <c r="Y11" s="317" t="s">
        <v>120</v>
      </c>
      <c r="Z11" s="277">
        <v>200</v>
      </c>
      <c r="AA11" s="244" t="s">
        <v>129</v>
      </c>
      <c r="AB11" s="245" t="s">
        <v>143</v>
      </c>
      <c r="AC11" s="102">
        <v>57126.57</v>
      </c>
      <c r="AD11" s="103">
        <v>46297</v>
      </c>
      <c r="AE11" s="322">
        <f t="shared" si="1"/>
        <v>0.23391515648962136</v>
      </c>
      <c r="AF11" s="305" t="s">
        <v>120</v>
      </c>
      <c r="AG11" s="280">
        <v>100</v>
      </c>
      <c r="AH11" s="252" t="s">
        <v>150</v>
      </c>
      <c r="AI11" s="253" t="s">
        <v>151</v>
      </c>
      <c r="AJ11" s="108">
        <v>4826.4799999999996</v>
      </c>
      <c r="AK11" s="109">
        <v>4545.8599999999997</v>
      </c>
      <c r="AL11" s="325">
        <f t="shared" si="5"/>
        <v>6.1730893604290481E-2</v>
      </c>
      <c r="AM11" s="309" t="s">
        <v>120</v>
      </c>
      <c r="AN11" s="281">
        <v>100</v>
      </c>
      <c r="AO11" s="260" t="s">
        <v>149</v>
      </c>
      <c r="AP11" s="261" t="s">
        <v>150</v>
      </c>
      <c r="AQ11" s="114">
        <v>1871.43</v>
      </c>
      <c r="AR11" s="115">
        <v>1951.1</v>
      </c>
      <c r="AS11" s="328">
        <f t="shared" si="6"/>
        <v>-4.0833376044282638E-2</v>
      </c>
      <c r="AT11" s="313" t="s">
        <v>120</v>
      </c>
      <c r="AU11" s="282">
        <v>100</v>
      </c>
      <c r="AV11" s="269" t="s">
        <v>146</v>
      </c>
      <c r="AW11" s="270" t="s">
        <v>143</v>
      </c>
      <c r="AX11" s="132">
        <v>1.1398999999999999</v>
      </c>
      <c r="AY11" s="133">
        <v>1.1052999999999999</v>
      </c>
      <c r="AZ11" s="331">
        <f t="shared" si="7"/>
        <v>3.130371844748029E-2</v>
      </c>
      <c r="BB11" s="229" t="s">
        <v>171</v>
      </c>
      <c r="BC11" s="230" t="s">
        <v>129</v>
      </c>
      <c r="BD11" s="231" t="s">
        <v>144</v>
      </c>
      <c r="BE11" s="232" t="s">
        <v>149</v>
      </c>
      <c r="BF11" s="233" t="s">
        <v>146</v>
      </c>
    </row>
    <row r="12" spans="1:67" ht="14.5" customHeight="1" x14ac:dyDescent="0.35">
      <c r="A12" s="505"/>
      <c r="B12" s="141" t="s">
        <v>64</v>
      </c>
      <c r="C12" s="290" t="s">
        <v>121</v>
      </c>
      <c r="D12" s="321">
        <v>4</v>
      </c>
      <c r="E12" s="104">
        <v>31511.5</v>
      </c>
      <c r="F12" s="105">
        <v>19262.900000000001</v>
      </c>
      <c r="G12" s="323">
        <f t="shared" si="0"/>
        <v>0.63586479709701016</v>
      </c>
      <c r="H12" s="293" t="s">
        <v>121</v>
      </c>
      <c r="I12" s="334">
        <v>2</v>
      </c>
      <c r="J12" s="110">
        <v>4115.01</v>
      </c>
      <c r="K12" s="111">
        <v>3825.33</v>
      </c>
      <c r="L12" s="326">
        <f t="shared" si="2"/>
        <v>7.5726800040780876E-2</v>
      </c>
      <c r="M12" s="298" t="s">
        <v>121</v>
      </c>
      <c r="N12" s="339">
        <v>2</v>
      </c>
      <c r="O12" s="116">
        <v>1859.78</v>
      </c>
      <c r="P12" s="117">
        <v>1807.3</v>
      </c>
      <c r="Q12" s="329">
        <f t="shared" si="3"/>
        <v>2.9037791180213587E-2</v>
      </c>
      <c r="R12" s="302" t="s">
        <v>121</v>
      </c>
      <c r="S12" s="340">
        <v>2</v>
      </c>
      <c r="T12" s="134">
        <v>1.0660000000000001</v>
      </c>
      <c r="U12" s="135">
        <v>1.0427999999999999</v>
      </c>
      <c r="V12" s="332">
        <f t="shared" si="4"/>
        <v>2.2247794399693242E-2</v>
      </c>
      <c r="W12" s="505"/>
      <c r="X12" s="141" t="s">
        <v>64</v>
      </c>
      <c r="Y12" s="318" t="s">
        <v>121</v>
      </c>
      <c r="Z12" s="350">
        <v>4</v>
      </c>
      <c r="AA12" s="246" t="s">
        <v>130</v>
      </c>
      <c r="AB12" s="251" t="s">
        <v>143</v>
      </c>
      <c r="AC12" s="104">
        <v>71598.59</v>
      </c>
      <c r="AD12" s="105">
        <v>19262.900000000001</v>
      </c>
      <c r="AE12" s="323">
        <f t="shared" si="1"/>
        <v>2.7169164559853392</v>
      </c>
      <c r="AF12" s="306" t="s">
        <v>121</v>
      </c>
      <c r="AG12" s="351">
        <v>2</v>
      </c>
      <c r="AH12" s="254" t="s">
        <v>144</v>
      </c>
      <c r="AI12" s="259" t="s">
        <v>143</v>
      </c>
      <c r="AJ12" s="110">
        <v>4887.5200000000004</v>
      </c>
      <c r="AK12" s="111">
        <v>3825.33</v>
      </c>
      <c r="AL12" s="326">
        <f t="shared" si="5"/>
        <v>0.27767277594351353</v>
      </c>
      <c r="AM12" s="310" t="s">
        <v>121</v>
      </c>
      <c r="AN12" s="355">
        <v>2</v>
      </c>
      <c r="AO12" s="262" t="s">
        <v>142</v>
      </c>
      <c r="AP12" s="268" t="s">
        <v>143</v>
      </c>
      <c r="AQ12" s="116">
        <v>1915.88</v>
      </c>
      <c r="AR12" s="117">
        <v>1807.3</v>
      </c>
      <c r="AS12" s="329">
        <f t="shared" si="6"/>
        <v>6.0078570242903868E-2</v>
      </c>
      <c r="AT12" s="314" t="s">
        <v>121</v>
      </c>
      <c r="AU12" s="356">
        <v>2</v>
      </c>
      <c r="AV12" s="271" t="s">
        <v>143</v>
      </c>
      <c r="AW12" s="276" t="s">
        <v>143</v>
      </c>
      <c r="AX12" s="134">
        <v>1.1418999999999999</v>
      </c>
      <c r="AY12" s="135">
        <v>1.0427999999999999</v>
      </c>
      <c r="AZ12" s="332">
        <f t="shared" si="7"/>
        <v>9.5032604526275391E-2</v>
      </c>
      <c r="BB12" s="338" t="s">
        <v>172</v>
      </c>
      <c r="BC12" s="175" t="s">
        <v>130</v>
      </c>
      <c r="BD12" s="180" t="s">
        <v>145</v>
      </c>
      <c r="BE12" s="185" t="s">
        <v>150</v>
      </c>
      <c r="BF12" s="358" t="s">
        <v>129</v>
      </c>
    </row>
    <row r="13" spans="1:67" ht="14.5" customHeight="1" x14ac:dyDescent="0.35">
      <c r="A13" s="505"/>
      <c r="B13" s="141" t="s">
        <v>65</v>
      </c>
      <c r="C13" s="291" t="s">
        <v>122</v>
      </c>
      <c r="D13" s="249">
        <v>8.0000000000000002E-3</v>
      </c>
      <c r="E13" s="104">
        <v>21144.09</v>
      </c>
      <c r="F13" s="105">
        <v>19311.900000000001</v>
      </c>
      <c r="G13" s="323">
        <f t="shared" si="0"/>
        <v>9.4873627141814035E-2</v>
      </c>
      <c r="H13" s="294" t="s">
        <v>122</v>
      </c>
      <c r="I13" s="257">
        <v>8.0000000000000002E-3</v>
      </c>
      <c r="J13" s="110">
        <v>3981.36</v>
      </c>
      <c r="K13" s="111">
        <v>3585.62</v>
      </c>
      <c r="L13" s="326">
        <f t="shared" si="2"/>
        <v>0.1103686391753728</v>
      </c>
      <c r="M13" s="299" t="s">
        <v>122</v>
      </c>
      <c r="N13" s="265">
        <v>8.0000000000000002E-3</v>
      </c>
      <c r="O13" s="116">
        <v>1712.43</v>
      </c>
      <c r="P13" s="117">
        <v>1663.6</v>
      </c>
      <c r="Q13" s="329">
        <f t="shared" si="3"/>
        <v>2.9352007694157346E-2</v>
      </c>
      <c r="R13" s="303" t="s">
        <v>122</v>
      </c>
      <c r="S13" s="274">
        <v>8.0000000000000002E-3</v>
      </c>
      <c r="T13" s="134">
        <v>0.99519999999999997</v>
      </c>
      <c r="U13" s="135">
        <v>0.97989999999999999</v>
      </c>
      <c r="V13" s="332">
        <f t="shared" si="4"/>
        <v>1.5613838146749649E-2</v>
      </c>
      <c r="W13" s="505"/>
      <c r="X13" s="141" t="s">
        <v>65</v>
      </c>
      <c r="Y13" s="319" t="s">
        <v>122</v>
      </c>
      <c r="Z13" s="278">
        <v>8.0000000000000002E-3</v>
      </c>
      <c r="AA13" s="248" t="s">
        <v>147</v>
      </c>
      <c r="AB13" s="249" t="s">
        <v>143</v>
      </c>
      <c r="AC13" s="104">
        <v>89959.79</v>
      </c>
      <c r="AD13" s="105">
        <v>19311.900000000001</v>
      </c>
      <c r="AE13" s="323">
        <f t="shared" si="1"/>
        <v>3.6582568261020398</v>
      </c>
      <c r="AF13" s="307" t="s">
        <v>122</v>
      </c>
      <c r="AG13" s="283">
        <v>8.0000000000000002E-3</v>
      </c>
      <c r="AH13" s="256" t="s">
        <v>148</v>
      </c>
      <c r="AI13" s="257" t="s">
        <v>143</v>
      </c>
      <c r="AJ13" s="110">
        <v>4950.0200000000004</v>
      </c>
      <c r="AK13" s="111">
        <v>3585.62</v>
      </c>
      <c r="AL13" s="326">
        <f t="shared" si="5"/>
        <v>0.38051996586364439</v>
      </c>
      <c r="AM13" s="311" t="s">
        <v>122</v>
      </c>
      <c r="AN13" s="284">
        <v>8.0000000000000002E-3</v>
      </c>
      <c r="AO13" s="264" t="s">
        <v>144</v>
      </c>
      <c r="AP13" s="265" t="s">
        <v>143</v>
      </c>
      <c r="AQ13" s="116">
        <v>1961.68</v>
      </c>
      <c r="AR13" s="117">
        <v>1663.6</v>
      </c>
      <c r="AS13" s="329">
        <f t="shared" si="6"/>
        <v>0.17917768694397701</v>
      </c>
      <c r="AT13" s="315" t="s">
        <v>122</v>
      </c>
      <c r="AU13" s="285">
        <v>8.0000000000000002E-3</v>
      </c>
      <c r="AV13" s="273" t="s">
        <v>143</v>
      </c>
      <c r="AW13" s="274" t="s">
        <v>143</v>
      </c>
      <c r="AX13" s="134">
        <v>1.1439999999999999</v>
      </c>
      <c r="AY13" s="135">
        <v>0.97989999999999999</v>
      </c>
      <c r="AZ13" s="332">
        <f t="shared" si="7"/>
        <v>0.1674660679661189</v>
      </c>
      <c r="BB13" s="338" t="s">
        <v>173</v>
      </c>
      <c r="BC13" s="175" t="s">
        <v>140</v>
      </c>
      <c r="BD13" s="180" t="s">
        <v>142</v>
      </c>
      <c r="BE13" s="185" t="s">
        <v>142</v>
      </c>
      <c r="BF13" s="358" t="s">
        <v>151</v>
      </c>
    </row>
    <row r="14" spans="1:67" ht="15" customHeight="1" thickBot="1" x14ac:dyDescent="0.4">
      <c r="A14" s="506"/>
      <c r="B14" s="141" t="s">
        <v>66</v>
      </c>
      <c r="C14" s="292" t="s">
        <v>123</v>
      </c>
      <c r="D14" s="250">
        <v>2.9225999999999999E-2</v>
      </c>
      <c r="E14" s="106">
        <v>17808.68</v>
      </c>
      <c r="F14" s="107">
        <v>16618.400000000001</v>
      </c>
      <c r="G14" s="324">
        <f t="shared" si="0"/>
        <v>7.1624223751985669E-2</v>
      </c>
      <c r="H14" s="295" t="s">
        <v>123</v>
      </c>
      <c r="I14" s="258">
        <v>5.2750000000000002E-3</v>
      </c>
      <c r="J14" s="112">
        <v>4092.11</v>
      </c>
      <c r="K14" s="113">
        <v>3839.5</v>
      </c>
      <c r="L14" s="327">
        <f t="shared" si="2"/>
        <v>6.5792420888136513E-2</v>
      </c>
      <c r="M14" s="300" t="s">
        <v>123</v>
      </c>
      <c r="N14" s="267">
        <v>5.5510000000000004E-3</v>
      </c>
      <c r="O14" s="118">
        <v>1820.06</v>
      </c>
      <c r="P14" s="119">
        <v>1826</v>
      </c>
      <c r="Q14" s="330">
        <f t="shared" si="3"/>
        <v>-3.2530120481928009E-3</v>
      </c>
      <c r="R14" s="304" t="s">
        <v>123</v>
      </c>
      <c r="S14" s="275">
        <v>3.0479999999999999E-3</v>
      </c>
      <c r="T14" s="136">
        <v>1.0531999999999999</v>
      </c>
      <c r="U14" s="137">
        <v>1.0702</v>
      </c>
      <c r="V14" s="333">
        <f t="shared" si="4"/>
        <v>-1.5884881330592529E-2</v>
      </c>
      <c r="W14" s="506"/>
      <c r="X14" s="141" t="s">
        <v>66</v>
      </c>
      <c r="Y14" s="320" t="s">
        <v>123</v>
      </c>
      <c r="Z14" s="279">
        <v>2.9225999999999999E-2</v>
      </c>
      <c r="AA14" s="166" t="s">
        <v>150</v>
      </c>
      <c r="AB14" s="250" t="s">
        <v>143</v>
      </c>
      <c r="AC14" s="106">
        <v>113029.65</v>
      </c>
      <c r="AD14" s="107">
        <v>16618.400000000001</v>
      </c>
      <c r="AE14" s="324">
        <f t="shared" si="1"/>
        <v>5.8014760747123661</v>
      </c>
      <c r="AF14" s="308" t="s">
        <v>123</v>
      </c>
      <c r="AG14" s="286">
        <v>5.2750000000000002E-3</v>
      </c>
      <c r="AH14" s="160" t="s">
        <v>145</v>
      </c>
      <c r="AI14" s="258" t="s">
        <v>143</v>
      </c>
      <c r="AJ14" s="112">
        <v>5013.32</v>
      </c>
      <c r="AK14" s="113">
        <v>3839.5</v>
      </c>
      <c r="AL14" s="327">
        <f t="shared" si="5"/>
        <v>0.30572209923167071</v>
      </c>
      <c r="AM14" s="312" t="s">
        <v>123</v>
      </c>
      <c r="AN14" s="287">
        <v>5.5510000000000004E-3</v>
      </c>
      <c r="AO14" s="266" t="s">
        <v>140</v>
      </c>
      <c r="AP14" s="267" t="s">
        <v>143</v>
      </c>
      <c r="AQ14" s="118">
        <v>2008.58</v>
      </c>
      <c r="AR14" s="119">
        <v>1826</v>
      </c>
      <c r="AS14" s="330">
        <f t="shared" si="6"/>
        <v>9.9989047097480799E-2</v>
      </c>
      <c r="AT14" s="316" t="s">
        <v>123</v>
      </c>
      <c r="AU14" s="288">
        <v>3.0479999999999999E-3</v>
      </c>
      <c r="AV14" s="148" t="s">
        <v>143</v>
      </c>
      <c r="AW14" s="275" t="s">
        <v>143</v>
      </c>
      <c r="AX14" s="136">
        <v>1.1459999999999999</v>
      </c>
      <c r="AY14" s="137">
        <v>1.0702</v>
      </c>
      <c r="AZ14" s="333">
        <f t="shared" si="7"/>
        <v>7.0827882638758985E-2</v>
      </c>
      <c r="BB14" s="338" t="s">
        <v>174</v>
      </c>
      <c r="BC14" s="175" t="s">
        <v>141</v>
      </c>
      <c r="BD14" s="180" t="s">
        <v>146</v>
      </c>
      <c r="BE14" s="185" t="s">
        <v>140</v>
      </c>
      <c r="BF14" s="358" t="s">
        <v>150</v>
      </c>
    </row>
    <row r="15" spans="1:67" ht="14.5" customHeight="1" thickBot="1" x14ac:dyDescent="0.4">
      <c r="A15" s="504">
        <v>2023</v>
      </c>
      <c r="B15" s="168" t="s">
        <v>67</v>
      </c>
      <c r="C15" s="289" t="s">
        <v>120</v>
      </c>
      <c r="D15" s="245">
        <v>100</v>
      </c>
      <c r="E15" s="102">
        <v>25016.73</v>
      </c>
      <c r="F15" s="103">
        <v>28456.1</v>
      </c>
      <c r="G15" s="322">
        <f t="shared" si="0"/>
        <v>-0.12086582490221777</v>
      </c>
      <c r="H15" s="296" t="s">
        <v>120</v>
      </c>
      <c r="I15" s="253">
        <v>100</v>
      </c>
      <c r="J15" s="108">
        <v>3965.62</v>
      </c>
      <c r="K15" s="109">
        <v>4109.3100000000004</v>
      </c>
      <c r="L15" s="325">
        <f t="shared" si="2"/>
        <v>-3.4966940921955389E-2</v>
      </c>
      <c r="M15" s="297" t="s">
        <v>120</v>
      </c>
      <c r="N15" s="261">
        <v>100</v>
      </c>
      <c r="O15" s="114">
        <v>1858.97</v>
      </c>
      <c r="P15" s="115">
        <v>1988.5</v>
      </c>
      <c r="Q15" s="328">
        <f t="shared" si="3"/>
        <v>-6.5139552426452085E-2</v>
      </c>
      <c r="R15" s="301" t="s">
        <v>120</v>
      </c>
      <c r="S15" s="270">
        <v>100</v>
      </c>
      <c r="T15" s="132">
        <v>1.0681</v>
      </c>
      <c r="U15" s="133">
        <v>1.0839000000000001</v>
      </c>
      <c r="V15" s="331">
        <f t="shared" si="4"/>
        <v>-1.457699049727838E-2</v>
      </c>
      <c r="W15" s="504">
        <v>2023</v>
      </c>
      <c r="X15" s="168" t="s">
        <v>67</v>
      </c>
      <c r="Y15" s="317" t="s">
        <v>120</v>
      </c>
      <c r="Z15" s="277">
        <v>100</v>
      </c>
      <c r="AA15" s="244" t="s">
        <v>129</v>
      </c>
      <c r="AB15" s="245" t="s">
        <v>143</v>
      </c>
      <c r="AC15" s="102">
        <v>19148.39</v>
      </c>
      <c r="AD15" s="103">
        <v>28456.1</v>
      </c>
      <c r="AE15" s="322">
        <f t="shared" si="1"/>
        <v>-0.32709014938800468</v>
      </c>
      <c r="AF15" s="305" t="s">
        <v>120</v>
      </c>
      <c r="AG15" s="280">
        <v>100</v>
      </c>
      <c r="AH15" s="252" t="s">
        <v>148</v>
      </c>
      <c r="AI15" s="253" t="s">
        <v>143</v>
      </c>
      <c r="AJ15" s="108">
        <v>3876.78</v>
      </c>
      <c r="AK15" s="109">
        <v>4109.3100000000004</v>
      </c>
      <c r="AL15" s="325">
        <f t="shared" si="5"/>
        <v>-5.6586142199055361E-2</v>
      </c>
      <c r="AM15" s="309" t="s">
        <v>120</v>
      </c>
      <c r="AN15" s="281">
        <v>100</v>
      </c>
      <c r="AO15" s="260" t="s">
        <v>149</v>
      </c>
      <c r="AP15" s="261" t="s">
        <v>142</v>
      </c>
      <c r="AQ15" s="114">
        <v>1864.83</v>
      </c>
      <c r="AR15" s="115">
        <v>1988.5</v>
      </c>
      <c r="AS15" s="328">
        <f t="shared" si="6"/>
        <v>-6.2192607493085278E-2</v>
      </c>
      <c r="AT15" s="313" t="s">
        <v>120</v>
      </c>
      <c r="AU15" s="282">
        <v>100</v>
      </c>
      <c r="AV15" s="269" t="s">
        <v>151</v>
      </c>
      <c r="AW15" s="270" t="s">
        <v>143</v>
      </c>
      <c r="AX15" s="132">
        <v>1.0746</v>
      </c>
      <c r="AY15" s="133">
        <v>1.0839000000000001</v>
      </c>
      <c r="AZ15" s="331">
        <f t="shared" si="7"/>
        <v>-8.5801273180183459E-3</v>
      </c>
      <c r="BB15" s="209" t="s">
        <v>175</v>
      </c>
      <c r="BC15" s="234" t="s">
        <v>142</v>
      </c>
      <c r="BD15" s="235" t="s">
        <v>147</v>
      </c>
      <c r="BE15" s="236" t="s">
        <v>147</v>
      </c>
      <c r="BF15" s="237" t="s">
        <v>140</v>
      </c>
    </row>
    <row r="16" spans="1:67" ht="14.5" customHeight="1" x14ac:dyDescent="0.35">
      <c r="A16" s="505"/>
      <c r="B16" s="141" t="s">
        <v>68</v>
      </c>
      <c r="C16" s="290" t="s">
        <v>121</v>
      </c>
      <c r="D16" s="321">
        <v>4</v>
      </c>
      <c r="E16" s="104">
        <v>28295.599999999999</v>
      </c>
      <c r="F16" s="105">
        <v>30586.799999999999</v>
      </c>
      <c r="G16" s="323">
        <f t="shared" si="0"/>
        <v>-7.4908130304575854E-2</v>
      </c>
      <c r="H16" s="293" t="s">
        <v>121</v>
      </c>
      <c r="I16" s="334">
        <v>2</v>
      </c>
      <c r="J16" s="110">
        <v>4236.68</v>
      </c>
      <c r="K16" s="111">
        <v>4450.38</v>
      </c>
      <c r="L16" s="326">
        <f t="shared" si="2"/>
        <v>-4.8018371464908574E-2</v>
      </c>
      <c r="M16" s="298" t="s">
        <v>121</v>
      </c>
      <c r="N16" s="339">
        <v>2</v>
      </c>
      <c r="O16" s="116">
        <v>2000.12</v>
      </c>
      <c r="P16" s="117">
        <v>1917.9</v>
      </c>
      <c r="Q16" s="329">
        <f t="shared" si="3"/>
        <v>4.2869805516450178E-2</v>
      </c>
      <c r="R16" s="302" t="s">
        <v>121</v>
      </c>
      <c r="S16" s="340">
        <v>2</v>
      </c>
      <c r="T16" s="134">
        <v>1.0778000000000001</v>
      </c>
      <c r="U16" s="135">
        <v>1.091</v>
      </c>
      <c r="V16" s="332">
        <f t="shared" si="4"/>
        <v>-1.2098991750687332E-2</v>
      </c>
      <c r="W16" s="505"/>
      <c r="X16" s="141" t="s">
        <v>68</v>
      </c>
      <c r="Y16" s="318" t="s">
        <v>121</v>
      </c>
      <c r="Z16" s="350">
        <v>4</v>
      </c>
      <c r="AA16" s="246" t="s">
        <v>130</v>
      </c>
      <c r="AB16" s="251" t="s">
        <v>143</v>
      </c>
      <c r="AC16" s="104">
        <v>22201.58</v>
      </c>
      <c r="AD16" s="105">
        <v>30586.799999999999</v>
      </c>
      <c r="AE16" s="323">
        <f t="shared" si="1"/>
        <v>-0.27414505603724476</v>
      </c>
      <c r="AF16" s="306" t="s">
        <v>121</v>
      </c>
      <c r="AG16" s="351">
        <v>2</v>
      </c>
      <c r="AH16" s="254" t="s">
        <v>144</v>
      </c>
      <c r="AI16" s="259" t="s">
        <v>143</v>
      </c>
      <c r="AJ16" s="110">
        <v>3914.52</v>
      </c>
      <c r="AK16" s="111">
        <v>4450.38</v>
      </c>
      <c r="AL16" s="326">
        <f t="shared" si="5"/>
        <v>-0.12040769552262956</v>
      </c>
      <c r="AM16" s="310" t="s">
        <v>121</v>
      </c>
      <c r="AN16" s="355">
        <v>2</v>
      </c>
      <c r="AO16" s="262" t="s">
        <v>144</v>
      </c>
      <c r="AP16" s="268" t="s">
        <v>146</v>
      </c>
      <c r="AQ16" s="116">
        <v>1905.65</v>
      </c>
      <c r="AR16" s="117">
        <v>1917.9</v>
      </c>
      <c r="AS16" s="329">
        <f t="shared" si="6"/>
        <v>-6.3871943271286303E-3</v>
      </c>
      <c r="AT16" s="314" t="s">
        <v>121</v>
      </c>
      <c r="AU16" s="356">
        <v>2</v>
      </c>
      <c r="AV16" s="271" t="s">
        <v>129</v>
      </c>
      <c r="AW16" s="276" t="s">
        <v>143</v>
      </c>
      <c r="AX16" s="134">
        <v>1.0791999999999999</v>
      </c>
      <c r="AY16" s="135">
        <v>1.091</v>
      </c>
      <c r="AZ16" s="332">
        <f t="shared" si="7"/>
        <v>-1.081576535288729E-2</v>
      </c>
    </row>
    <row r="17" spans="1:52" ht="14.5" customHeight="1" x14ac:dyDescent="0.35">
      <c r="A17" s="505"/>
      <c r="B17" s="141" t="s">
        <v>69</v>
      </c>
      <c r="C17" s="291" t="s">
        <v>122</v>
      </c>
      <c r="D17" s="249">
        <v>0.01</v>
      </c>
      <c r="E17" s="104">
        <v>27152.07</v>
      </c>
      <c r="F17" s="105">
        <v>27974.5</v>
      </c>
      <c r="G17" s="323">
        <f t="shared" si="0"/>
        <v>-2.9399274339130289E-2</v>
      </c>
      <c r="H17" s="294" t="s">
        <v>122</v>
      </c>
      <c r="I17" s="257">
        <v>8.0000000000000002E-3</v>
      </c>
      <c r="J17" s="110">
        <v>4533.7299999999996</v>
      </c>
      <c r="K17" s="111">
        <v>4288.05</v>
      </c>
      <c r="L17" s="326">
        <f t="shared" si="2"/>
        <v>5.7294108044448962E-2</v>
      </c>
      <c r="M17" s="299" t="s">
        <v>122</v>
      </c>
      <c r="N17" s="265">
        <v>8.0000000000000002E-3</v>
      </c>
      <c r="O17" s="116">
        <v>1958.68</v>
      </c>
      <c r="P17" s="117">
        <v>1869.5</v>
      </c>
      <c r="Q17" s="329">
        <f t="shared" si="3"/>
        <v>4.7702594276544566E-2</v>
      </c>
      <c r="R17" s="303" t="s">
        <v>122</v>
      </c>
      <c r="S17" s="274">
        <v>8.0000000000000002E-3</v>
      </c>
      <c r="T17" s="134">
        <v>1.079</v>
      </c>
      <c r="U17" s="135">
        <v>1.0569999999999999</v>
      </c>
      <c r="V17" s="332">
        <f t="shared" si="4"/>
        <v>2.0813623462630104E-2</v>
      </c>
      <c r="W17" s="505"/>
      <c r="X17" s="141" t="s">
        <v>69</v>
      </c>
      <c r="Y17" s="319" t="s">
        <v>122</v>
      </c>
      <c r="Z17" s="278">
        <v>0.01</v>
      </c>
      <c r="AA17" s="248" t="s">
        <v>147</v>
      </c>
      <c r="AB17" s="249" t="s">
        <v>143</v>
      </c>
      <c r="AC17" s="104">
        <v>25783.48</v>
      </c>
      <c r="AD17" s="105">
        <v>27974.5</v>
      </c>
      <c r="AE17" s="323">
        <f t="shared" si="1"/>
        <v>-7.8322043289424312E-2</v>
      </c>
      <c r="AF17" s="307" t="s">
        <v>122</v>
      </c>
      <c r="AG17" s="283">
        <v>8.0000000000000002E-3</v>
      </c>
      <c r="AH17" s="256" t="s">
        <v>151</v>
      </c>
      <c r="AI17" s="257" t="s">
        <v>143</v>
      </c>
      <c r="AJ17" s="110">
        <v>3953.04</v>
      </c>
      <c r="AK17" s="111">
        <v>4288.05</v>
      </c>
      <c r="AL17" s="326">
        <f t="shared" si="5"/>
        <v>-7.8126421100500276E-2</v>
      </c>
      <c r="AM17" s="311" t="s">
        <v>122</v>
      </c>
      <c r="AN17" s="284">
        <v>8.0000000000000002E-3</v>
      </c>
      <c r="AO17" s="264" t="s">
        <v>150</v>
      </c>
      <c r="AP17" s="265" t="s">
        <v>143</v>
      </c>
      <c r="AQ17" s="116">
        <v>1947.85</v>
      </c>
      <c r="AR17" s="117">
        <v>1869.5</v>
      </c>
      <c r="AS17" s="329">
        <f t="shared" si="6"/>
        <v>4.1909601497726615E-2</v>
      </c>
      <c r="AT17" s="315" t="s">
        <v>122</v>
      </c>
      <c r="AU17" s="285">
        <v>8.0000000000000002E-3</v>
      </c>
      <c r="AV17" s="273" t="s">
        <v>140</v>
      </c>
      <c r="AW17" s="274" t="s">
        <v>143</v>
      </c>
      <c r="AX17" s="134">
        <v>1.0838000000000001</v>
      </c>
      <c r="AY17" s="135">
        <v>1.0569999999999999</v>
      </c>
      <c r="AZ17" s="332">
        <f t="shared" si="7"/>
        <v>2.5354777672658618E-2</v>
      </c>
    </row>
    <row r="18" spans="1:52" ht="15" customHeight="1" thickBot="1" x14ac:dyDescent="0.4">
      <c r="A18" s="506"/>
      <c r="B18" s="141" t="s">
        <v>70</v>
      </c>
      <c r="C18" s="292" t="s">
        <v>123</v>
      </c>
      <c r="D18" s="250">
        <v>2.8482E-2</v>
      </c>
      <c r="E18" s="106">
        <v>40873.75</v>
      </c>
      <c r="F18" s="107">
        <v>44183.4</v>
      </c>
      <c r="G18" s="324">
        <f t="shared" si="0"/>
        <v>-7.4907091803709122E-2</v>
      </c>
      <c r="H18" s="295" t="s">
        <v>123</v>
      </c>
      <c r="I18" s="258">
        <v>5.4390000000000003E-3</v>
      </c>
      <c r="J18" s="112">
        <v>4613.95</v>
      </c>
      <c r="K18" s="113">
        <v>4769.83</v>
      </c>
      <c r="L18" s="327">
        <f t="shared" si="2"/>
        <v>-3.2680409993647595E-2</v>
      </c>
      <c r="M18" s="300" t="s">
        <v>123</v>
      </c>
      <c r="N18" s="267">
        <v>5.5050000000000003E-3</v>
      </c>
      <c r="O18" s="118">
        <v>2063.9499999999998</v>
      </c>
      <c r="P18" s="119">
        <v>2083.5</v>
      </c>
      <c r="Q18" s="330">
        <f t="shared" si="3"/>
        <v>-9.3832493400528832E-3</v>
      </c>
      <c r="R18" s="304" t="s">
        <v>123</v>
      </c>
      <c r="S18" s="275">
        <v>3.0620000000000001E-3</v>
      </c>
      <c r="T18" s="136">
        <v>1.0906</v>
      </c>
      <c r="U18" s="137">
        <v>1.1044</v>
      </c>
      <c r="V18" s="333">
        <f t="shared" si="4"/>
        <v>-1.2495472654835235E-2</v>
      </c>
      <c r="W18" s="506"/>
      <c r="X18" s="141" t="s">
        <v>70</v>
      </c>
      <c r="Y18" s="320" t="s">
        <v>123</v>
      </c>
      <c r="Z18" s="279">
        <v>2.8482E-2</v>
      </c>
      <c r="AA18" s="166" t="s">
        <v>145</v>
      </c>
      <c r="AB18" s="250" t="s">
        <v>143</v>
      </c>
      <c r="AC18" s="106">
        <v>29943.27</v>
      </c>
      <c r="AD18" s="107">
        <v>44183.4</v>
      </c>
      <c r="AE18" s="324">
        <f t="shared" si="1"/>
        <v>-0.32229593014571084</v>
      </c>
      <c r="AF18" s="308" t="s">
        <v>123</v>
      </c>
      <c r="AG18" s="286">
        <v>5.4390000000000003E-3</v>
      </c>
      <c r="AH18" s="160" t="s">
        <v>149</v>
      </c>
      <c r="AI18" s="258" t="s">
        <v>143</v>
      </c>
      <c r="AJ18" s="112">
        <v>3991.94</v>
      </c>
      <c r="AK18" s="113">
        <v>4769.83</v>
      </c>
      <c r="AL18" s="327">
        <f t="shared" si="5"/>
        <v>-0.16308547684089367</v>
      </c>
      <c r="AM18" s="312" t="s">
        <v>123</v>
      </c>
      <c r="AN18" s="287">
        <v>5.5050000000000003E-3</v>
      </c>
      <c r="AO18" s="266" t="s">
        <v>140</v>
      </c>
      <c r="AP18" s="267" t="s">
        <v>143</v>
      </c>
      <c r="AQ18" s="118">
        <v>1990.98</v>
      </c>
      <c r="AR18" s="119">
        <v>2083.5</v>
      </c>
      <c r="AS18" s="330">
        <f t="shared" si="6"/>
        <v>-4.4406047516198692E-2</v>
      </c>
      <c r="AT18" s="316" t="s">
        <v>123</v>
      </c>
      <c r="AU18" s="288">
        <v>3.0620000000000001E-3</v>
      </c>
      <c r="AV18" s="148" t="s">
        <v>143</v>
      </c>
      <c r="AW18" s="275" t="s">
        <v>143</v>
      </c>
      <c r="AX18" s="136">
        <v>1.0885</v>
      </c>
      <c r="AY18" s="137">
        <v>1.1044</v>
      </c>
      <c r="AZ18" s="333">
        <f t="shared" si="7"/>
        <v>-1.4396957624049279E-2</v>
      </c>
    </row>
    <row r="19" spans="1:52" ht="14.5" customHeight="1" x14ac:dyDescent="0.35">
      <c r="A19" s="504">
        <v>2024</v>
      </c>
      <c r="B19" s="168" t="s">
        <v>71</v>
      </c>
      <c r="C19" s="289" t="s">
        <v>120</v>
      </c>
      <c r="D19" s="245">
        <v>100</v>
      </c>
      <c r="E19" s="102">
        <v>66763.94</v>
      </c>
      <c r="F19" s="103">
        <v>69664.399999999994</v>
      </c>
      <c r="G19" s="322">
        <f t="shared" si="0"/>
        <v>-4.1634751752688492E-2</v>
      </c>
      <c r="H19" s="296" t="s">
        <v>120</v>
      </c>
      <c r="I19" s="253">
        <v>100</v>
      </c>
      <c r="J19" s="108">
        <v>5160.45</v>
      </c>
      <c r="K19" s="109">
        <v>5243.77</v>
      </c>
      <c r="L19" s="325">
        <f t="shared" si="2"/>
        <v>-1.5889331530559238E-2</v>
      </c>
      <c r="M19" s="297" t="s">
        <v>120</v>
      </c>
      <c r="N19" s="261">
        <v>100</v>
      </c>
      <c r="O19" s="114">
        <v>2068.5100000000002</v>
      </c>
      <c r="P19" s="115">
        <v>2245.9</v>
      </c>
      <c r="Q19" s="328">
        <f t="shared" si="3"/>
        <v>-7.8983926265639548E-2</v>
      </c>
      <c r="R19" s="301" t="s">
        <v>120</v>
      </c>
      <c r="S19" s="270">
        <v>100</v>
      </c>
      <c r="T19" s="132">
        <v>1.0851999999999999</v>
      </c>
      <c r="U19" s="133">
        <v>1.0743</v>
      </c>
      <c r="V19" s="331">
        <f t="shared" si="4"/>
        <v>1.0146141673647873E-2</v>
      </c>
      <c r="W19" s="504">
        <v>2024</v>
      </c>
      <c r="X19" s="168" t="s">
        <v>71</v>
      </c>
      <c r="Y19" s="317" t="s">
        <v>120</v>
      </c>
      <c r="Z19" s="277">
        <v>100</v>
      </c>
      <c r="AA19" s="244" t="s">
        <v>129</v>
      </c>
      <c r="AB19" s="245" t="s">
        <v>145</v>
      </c>
      <c r="AC19" s="102">
        <v>49610.31</v>
      </c>
      <c r="AD19" s="103">
        <v>69664.399999999994</v>
      </c>
      <c r="AE19" s="322">
        <f t="shared" si="1"/>
        <v>-0.28786711720764119</v>
      </c>
      <c r="AF19" s="305" t="s">
        <v>120</v>
      </c>
      <c r="AG19" s="280">
        <v>100</v>
      </c>
      <c r="AH19" s="252" t="s">
        <v>151</v>
      </c>
      <c r="AI19" s="253" t="s">
        <v>143</v>
      </c>
      <c r="AJ19" s="108">
        <v>4828.43</v>
      </c>
      <c r="AK19" s="109">
        <v>5243.77</v>
      </c>
      <c r="AL19" s="325">
        <f t="shared" si="5"/>
        <v>-7.9206372514431439E-2</v>
      </c>
      <c r="AM19" s="309" t="s">
        <v>120</v>
      </c>
      <c r="AN19" s="281">
        <v>100</v>
      </c>
      <c r="AO19" s="260" t="s">
        <v>149</v>
      </c>
      <c r="AP19" s="261" t="s">
        <v>140</v>
      </c>
      <c r="AQ19" s="114">
        <v>2132.1799999999998</v>
      </c>
      <c r="AR19" s="115">
        <v>2245.9</v>
      </c>
      <c r="AS19" s="328">
        <f t="shared" si="6"/>
        <v>-5.0634489514226035E-2</v>
      </c>
      <c r="AT19" s="313" t="s">
        <v>120</v>
      </c>
      <c r="AU19" s="282">
        <v>100</v>
      </c>
      <c r="AV19" s="269" t="s">
        <v>151</v>
      </c>
      <c r="AW19" s="270" t="s">
        <v>143</v>
      </c>
      <c r="AX19" s="132">
        <v>1.1107</v>
      </c>
      <c r="AY19" s="133">
        <v>1.0743</v>
      </c>
      <c r="AZ19" s="331">
        <f t="shared" si="7"/>
        <v>3.3882528157870226E-2</v>
      </c>
    </row>
    <row r="20" spans="1:52" ht="14.5" customHeight="1" x14ac:dyDescent="0.35">
      <c r="A20" s="505"/>
      <c r="B20" s="141" t="s">
        <v>72</v>
      </c>
      <c r="C20" s="290" t="s">
        <v>121</v>
      </c>
      <c r="D20" s="321">
        <v>4</v>
      </c>
      <c r="E20" s="104">
        <v>71420.88</v>
      </c>
      <c r="F20" s="105">
        <v>62890.1</v>
      </c>
      <c r="G20" s="323">
        <f t="shared" si="0"/>
        <v>0.13564583296894117</v>
      </c>
      <c r="H20" s="293" t="s">
        <v>121</v>
      </c>
      <c r="I20" s="334">
        <v>2</v>
      </c>
      <c r="J20" s="110">
        <v>5301.01</v>
      </c>
      <c r="K20" s="111">
        <v>5475.09</v>
      </c>
      <c r="L20" s="326">
        <f t="shared" si="2"/>
        <v>-3.1794911133880888E-2</v>
      </c>
      <c r="M20" s="298" t="s">
        <v>121</v>
      </c>
      <c r="N20" s="339">
        <v>2</v>
      </c>
      <c r="O20" s="116">
        <v>2371.3000000000002</v>
      </c>
      <c r="P20" s="117">
        <v>2338.9</v>
      </c>
      <c r="Q20" s="329">
        <f t="shared" si="3"/>
        <v>1.3852665783060452E-2</v>
      </c>
      <c r="R20" s="302" t="s">
        <v>121</v>
      </c>
      <c r="S20" s="340">
        <v>2</v>
      </c>
      <c r="T20" s="134">
        <v>1.0858000000000001</v>
      </c>
      <c r="U20" s="135">
        <v>1.0738000000000001</v>
      </c>
      <c r="V20" s="332">
        <f t="shared" si="4"/>
        <v>1.1175265412553557E-2</v>
      </c>
      <c r="W20" s="505"/>
      <c r="X20" s="141" t="s">
        <v>72</v>
      </c>
      <c r="Y20" s="318" t="s">
        <v>121</v>
      </c>
      <c r="Z20" s="350">
        <v>4</v>
      </c>
      <c r="AA20" s="246" t="s">
        <v>147</v>
      </c>
      <c r="AB20" s="251" t="s">
        <v>143</v>
      </c>
      <c r="AC20" s="104">
        <v>58152.12</v>
      </c>
      <c r="AD20" s="105">
        <v>62890.1</v>
      </c>
      <c r="AE20" s="323">
        <f t="shared" si="1"/>
        <v>-7.5337453748682157E-2</v>
      </c>
      <c r="AF20" s="306" t="s">
        <v>121</v>
      </c>
      <c r="AG20" s="351">
        <v>2</v>
      </c>
      <c r="AH20" s="254" t="s">
        <v>148</v>
      </c>
      <c r="AI20" s="259" t="s">
        <v>143</v>
      </c>
      <c r="AJ20" s="110">
        <v>4887.1099999999997</v>
      </c>
      <c r="AK20" s="111">
        <v>5475.09</v>
      </c>
      <c r="AL20" s="326">
        <f t="shared" si="5"/>
        <v>-0.10739184196058886</v>
      </c>
      <c r="AM20" s="310" t="s">
        <v>121</v>
      </c>
      <c r="AN20" s="355">
        <v>2</v>
      </c>
      <c r="AO20" s="262" t="s">
        <v>147</v>
      </c>
      <c r="AP20" s="268" t="s">
        <v>143</v>
      </c>
      <c r="AQ20" s="116">
        <v>2183.41</v>
      </c>
      <c r="AR20" s="117">
        <v>2338.9</v>
      </c>
      <c r="AS20" s="329">
        <f t="shared" si="6"/>
        <v>-6.6479969216298354E-2</v>
      </c>
      <c r="AT20" s="314" t="s">
        <v>121</v>
      </c>
      <c r="AU20" s="356">
        <v>2</v>
      </c>
      <c r="AV20" s="271" t="s">
        <v>129</v>
      </c>
      <c r="AW20" s="276" t="s">
        <v>143</v>
      </c>
      <c r="AX20" s="134">
        <v>1.1175999999999999</v>
      </c>
      <c r="AY20" s="135">
        <v>1.0738000000000001</v>
      </c>
      <c r="AZ20" s="332">
        <f t="shared" si="7"/>
        <v>4.0789718755820298E-2</v>
      </c>
    </row>
    <row r="21" spans="1:52" ht="14.5" customHeight="1" x14ac:dyDescent="0.35">
      <c r="A21" s="505"/>
      <c r="B21" s="141" t="s">
        <v>73</v>
      </c>
      <c r="C21" s="291" t="s">
        <v>122</v>
      </c>
      <c r="D21" s="249">
        <v>0.01</v>
      </c>
      <c r="E21" s="104">
        <v>60297.56</v>
      </c>
      <c r="F21" s="105">
        <v>60835.5</v>
      </c>
      <c r="G21" s="323">
        <f t="shared" si="0"/>
        <v>-8.8425343754880339E-3</v>
      </c>
      <c r="H21" s="294" t="s">
        <v>122</v>
      </c>
      <c r="I21" s="257">
        <v>8.0000000000000002E-3</v>
      </c>
      <c r="J21" s="110">
        <v>5674.67</v>
      </c>
      <c r="K21" s="111">
        <v>5708.75</v>
      </c>
      <c r="L21" s="326">
        <f t="shared" si="2"/>
        <v>-5.9697832275016297E-3</v>
      </c>
      <c r="M21" s="299" t="s">
        <v>122</v>
      </c>
      <c r="N21" s="265">
        <v>8.0000000000000002E-3</v>
      </c>
      <c r="O21" s="116">
        <v>2554.5500000000002</v>
      </c>
      <c r="P21" s="117">
        <v>2678.5</v>
      </c>
      <c r="Q21" s="329">
        <f t="shared" si="3"/>
        <v>-4.6275900690685018E-2</v>
      </c>
      <c r="R21" s="303" t="s">
        <v>122</v>
      </c>
      <c r="S21" s="274">
        <v>8.0000000000000002E-3</v>
      </c>
      <c r="T21" s="134">
        <v>1.1063000000000001</v>
      </c>
      <c r="U21" s="135">
        <v>1.1067</v>
      </c>
      <c r="V21" s="332">
        <f t="shared" si="4"/>
        <v>-3.6143489653922106E-4</v>
      </c>
      <c r="W21" s="505"/>
      <c r="X21" s="141" t="s">
        <v>73</v>
      </c>
      <c r="Y21" s="319" t="s">
        <v>122</v>
      </c>
      <c r="Z21" s="278">
        <v>0.01</v>
      </c>
      <c r="AA21" s="248" t="s">
        <v>150</v>
      </c>
      <c r="AB21" s="249" t="s">
        <v>143</v>
      </c>
      <c r="AC21" s="104">
        <v>68283.75</v>
      </c>
      <c r="AD21" s="105">
        <v>60835.5</v>
      </c>
      <c r="AE21" s="323">
        <f t="shared" si="1"/>
        <v>0.12243262568730429</v>
      </c>
      <c r="AF21" s="353" t="s">
        <v>122</v>
      </c>
      <c r="AG21" s="283">
        <v>8.0000000000000002E-3</v>
      </c>
      <c r="AH21" s="256" t="s">
        <v>144</v>
      </c>
      <c r="AI21" s="257" t="s">
        <v>143</v>
      </c>
      <c r="AJ21" s="110">
        <v>4947.1499999999996</v>
      </c>
      <c r="AK21" s="111">
        <v>5708.75</v>
      </c>
      <c r="AL21" s="326">
        <f t="shared" si="5"/>
        <v>-0.13340924020144521</v>
      </c>
      <c r="AM21" s="311" t="s">
        <v>122</v>
      </c>
      <c r="AN21" s="284">
        <v>8.0000000000000002E-3</v>
      </c>
      <c r="AO21" s="264" t="s">
        <v>142</v>
      </c>
      <c r="AP21" s="265" t="s">
        <v>143</v>
      </c>
      <c r="AQ21" s="116">
        <v>2236.5500000000002</v>
      </c>
      <c r="AR21" s="117">
        <v>2678.5</v>
      </c>
      <c r="AS21" s="329">
        <f t="shared" si="6"/>
        <v>-0.16499906664177705</v>
      </c>
      <c r="AT21" s="315" t="s">
        <v>122</v>
      </c>
      <c r="AU21" s="285">
        <v>8.0000000000000002E-3</v>
      </c>
      <c r="AV21" s="273" t="s">
        <v>141</v>
      </c>
      <c r="AW21" s="274" t="s">
        <v>143</v>
      </c>
      <c r="AX21" s="134">
        <v>1.1247</v>
      </c>
      <c r="AY21" s="135">
        <v>1.1067</v>
      </c>
      <c r="AZ21" s="332">
        <f t="shared" si="7"/>
        <v>1.6264570344266753E-2</v>
      </c>
    </row>
    <row r="22" spans="1:52" ht="15" customHeight="1" thickBot="1" x14ac:dyDescent="0.4">
      <c r="A22" s="506"/>
      <c r="B22" s="169" t="s">
        <v>74</v>
      </c>
      <c r="C22" s="292" t="s">
        <v>123</v>
      </c>
      <c r="D22" s="250">
        <v>2.7522999999999999E-2</v>
      </c>
      <c r="E22" s="106">
        <v>103214.83</v>
      </c>
      <c r="F22" s="107">
        <v>94560.2</v>
      </c>
      <c r="G22" s="324">
        <f t="shared" si="0"/>
        <v>9.1525081376731487E-2</v>
      </c>
      <c r="H22" s="295" t="s">
        <v>123</v>
      </c>
      <c r="I22" s="258">
        <v>5.4010000000000004E-3</v>
      </c>
      <c r="J22" s="112">
        <v>6062.39</v>
      </c>
      <c r="K22" s="113">
        <v>5881.63</v>
      </c>
      <c r="L22" s="327">
        <f t="shared" si="2"/>
        <v>3.0732977082883525E-2</v>
      </c>
      <c r="M22" s="300" t="s">
        <v>123</v>
      </c>
      <c r="N22" s="267">
        <v>5.4469999999999996E-3</v>
      </c>
      <c r="O22" s="118">
        <v>2672.8</v>
      </c>
      <c r="P22" s="119">
        <v>2618.1</v>
      </c>
      <c r="Q22" s="330">
        <f t="shared" si="3"/>
        <v>2.0893014017799274E-2</v>
      </c>
      <c r="R22" s="304" t="s">
        <v>123</v>
      </c>
      <c r="S22" s="275">
        <v>3.0349999999999999E-3</v>
      </c>
      <c r="T22" s="136">
        <v>1.0589</v>
      </c>
      <c r="U22" s="137">
        <v>1.0355000000000001</v>
      </c>
      <c r="V22" s="333">
        <f t="shared" si="4"/>
        <v>2.2597778850796585E-2</v>
      </c>
      <c r="W22" s="506"/>
      <c r="X22" s="169" t="s">
        <v>74</v>
      </c>
      <c r="Y22" s="320" t="s">
        <v>123</v>
      </c>
      <c r="Z22" s="279">
        <v>2.7522999999999999E-2</v>
      </c>
      <c r="AA22" s="166" t="s">
        <v>130</v>
      </c>
      <c r="AB22" s="250" t="s">
        <v>143</v>
      </c>
      <c r="AC22" s="106">
        <v>80180.58</v>
      </c>
      <c r="AD22" s="107">
        <v>94560.2</v>
      </c>
      <c r="AE22" s="324">
        <f t="shared" si="1"/>
        <v>-0.15206841779099448</v>
      </c>
      <c r="AF22" s="308" t="s">
        <v>123</v>
      </c>
      <c r="AG22" s="286">
        <v>5.4010000000000004E-3</v>
      </c>
      <c r="AH22" s="160" t="s">
        <v>149</v>
      </c>
      <c r="AI22" s="258" t="s">
        <v>143</v>
      </c>
      <c r="AJ22" s="112">
        <v>5007.93</v>
      </c>
      <c r="AK22" s="113">
        <v>5881.63</v>
      </c>
      <c r="AL22" s="327">
        <f t="shared" si="5"/>
        <v>-0.14854725645781863</v>
      </c>
      <c r="AM22" s="312" t="s">
        <v>123</v>
      </c>
      <c r="AN22" s="287">
        <v>5.4469999999999996E-3</v>
      </c>
      <c r="AO22" s="266" t="s">
        <v>150</v>
      </c>
      <c r="AP22" s="267" t="s">
        <v>143</v>
      </c>
      <c r="AQ22" s="118">
        <v>2290.9699999999998</v>
      </c>
      <c r="AR22" s="119">
        <v>2618.1</v>
      </c>
      <c r="AS22" s="330">
        <f t="shared" si="6"/>
        <v>-0.12494939077957302</v>
      </c>
      <c r="AT22" s="316" t="s">
        <v>123</v>
      </c>
      <c r="AU22" s="288">
        <v>3.0349999999999999E-3</v>
      </c>
      <c r="AV22" s="148" t="s">
        <v>143</v>
      </c>
      <c r="AW22" s="275" t="s">
        <v>143</v>
      </c>
      <c r="AX22" s="136">
        <v>1.1318999999999999</v>
      </c>
      <c r="AY22" s="137">
        <v>1.0355000000000001</v>
      </c>
      <c r="AZ22" s="333">
        <f t="shared" si="7"/>
        <v>9.3095123128923041E-2</v>
      </c>
    </row>
    <row r="23" spans="1:52" ht="14.5" customHeight="1" x14ac:dyDescent="0.35">
      <c r="A23" s="504">
        <v>2025</v>
      </c>
      <c r="B23" s="168" t="s">
        <v>75</v>
      </c>
      <c r="C23" s="289" t="s">
        <v>120</v>
      </c>
      <c r="D23" s="245">
        <v>100</v>
      </c>
      <c r="E23" s="102">
        <v>91074.52</v>
      </c>
      <c r="F23" s="103">
        <v>85164.2</v>
      </c>
      <c r="G23" s="322">
        <f t="shared" si="0"/>
        <v>6.9399113712099766E-2</v>
      </c>
      <c r="H23" s="296" t="s">
        <v>120</v>
      </c>
      <c r="I23" s="253">
        <v>100</v>
      </c>
      <c r="J23" s="108">
        <v>5981.61</v>
      </c>
      <c r="K23" s="109">
        <v>5633.07</v>
      </c>
      <c r="L23" s="325">
        <f t="shared" si="2"/>
        <v>6.1873898247314513E-2</v>
      </c>
      <c r="M23" s="297" t="s">
        <v>120</v>
      </c>
      <c r="N23" s="261">
        <v>100</v>
      </c>
      <c r="O23" s="114">
        <v>2919.71</v>
      </c>
      <c r="P23" s="115">
        <v>3146</v>
      </c>
      <c r="Q23" s="328">
        <f t="shared" si="3"/>
        <v>-7.1929434202161469E-2</v>
      </c>
      <c r="R23" s="301" t="s">
        <v>120</v>
      </c>
      <c r="S23" s="270">
        <v>100</v>
      </c>
      <c r="T23" s="132">
        <v>1.0389999999999999</v>
      </c>
      <c r="U23" s="133">
        <v>1.0792999999999999</v>
      </c>
      <c r="V23" s="331">
        <f t="shared" si="4"/>
        <v>-3.7339016028907629E-2</v>
      </c>
      <c r="W23" s="504">
        <v>2025</v>
      </c>
      <c r="X23" s="168" t="s">
        <v>75</v>
      </c>
      <c r="Y23" s="317" t="s">
        <v>120</v>
      </c>
      <c r="Z23" s="277">
        <v>100</v>
      </c>
      <c r="AA23" s="244" t="s">
        <v>150</v>
      </c>
      <c r="AB23" s="245" t="s">
        <v>129</v>
      </c>
      <c r="AC23" s="102">
        <v>110255.56</v>
      </c>
      <c r="AD23" s="103">
        <v>85164.2</v>
      </c>
      <c r="AE23" s="322">
        <f t="shared" si="1"/>
        <v>0.29462332764236615</v>
      </c>
      <c r="AF23" s="305" t="s">
        <v>120</v>
      </c>
      <c r="AG23" s="280">
        <v>100</v>
      </c>
      <c r="AH23" s="252" t="s">
        <v>144</v>
      </c>
      <c r="AI23" s="253" t="s">
        <v>147</v>
      </c>
      <c r="AJ23" s="108">
        <v>5956.01</v>
      </c>
      <c r="AK23" s="109">
        <v>5633.07</v>
      </c>
      <c r="AL23" s="325">
        <f t="shared" si="5"/>
        <v>5.7329307109622377E-2</v>
      </c>
      <c r="AM23" s="309" t="s">
        <v>120</v>
      </c>
      <c r="AN23" s="281">
        <v>100</v>
      </c>
      <c r="AO23" s="260" t="s">
        <v>166</v>
      </c>
      <c r="AP23" s="261" t="s">
        <v>143</v>
      </c>
      <c r="AQ23" s="114">
        <v>2680.79</v>
      </c>
      <c r="AR23" s="115">
        <v>3146</v>
      </c>
      <c r="AS23" s="328">
        <f t="shared" si="6"/>
        <v>-0.14787349014621742</v>
      </c>
      <c r="AT23" s="313" t="s">
        <v>120</v>
      </c>
      <c r="AU23" s="282">
        <v>100</v>
      </c>
      <c r="AV23" s="269" t="s">
        <v>151</v>
      </c>
      <c r="AW23" s="270" t="s">
        <v>143</v>
      </c>
      <c r="AX23" s="132">
        <v>1.0390999999999999</v>
      </c>
      <c r="AY23" s="133">
        <v>1.0792999999999999</v>
      </c>
      <c r="AZ23" s="331">
        <f t="shared" si="7"/>
        <v>-3.7246363383674617E-2</v>
      </c>
    </row>
    <row r="24" spans="1:52" ht="14.5" customHeight="1" x14ac:dyDescent="0.35">
      <c r="A24" s="505"/>
      <c r="B24" s="141" t="s">
        <v>76</v>
      </c>
      <c r="C24" s="290" t="s">
        <v>121</v>
      </c>
      <c r="D24" s="321">
        <v>4</v>
      </c>
      <c r="E24" s="104">
        <v>111325.77</v>
      </c>
      <c r="F24" s="105">
        <v>105694.3</v>
      </c>
      <c r="G24" s="323">
        <f t="shared" si="0"/>
        <v>5.3280735101136019E-2</v>
      </c>
      <c r="H24" s="293" t="s">
        <v>121</v>
      </c>
      <c r="I24" s="334">
        <v>2</v>
      </c>
      <c r="J24" s="110">
        <v>5935.29</v>
      </c>
      <c r="K24" s="111">
        <v>6198.01</v>
      </c>
      <c r="L24" s="326">
        <f t="shared" si="2"/>
        <v>-4.2387798664410066E-2</v>
      </c>
      <c r="M24" s="298" t="s">
        <v>121</v>
      </c>
      <c r="N24" s="339">
        <v>2</v>
      </c>
      <c r="O24" s="116">
        <v>3363.87</v>
      </c>
      <c r="P24" s="117">
        <v>3349.8</v>
      </c>
      <c r="Q24" s="329">
        <f t="shared" si="3"/>
        <v>4.2002507612393901E-3</v>
      </c>
      <c r="R24" s="302" t="s">
        <v>121</v>
      </c>
      <c r="S24" s="340">
        <v>2</v>
      </c>
      <c r="T24" s="134">
        <v>1.1365000000000001</v>
      </c>
      <c r="U24" s="135">
        <v>1.1807000000000001</v>
      </c>
      <c r="V24" s="332">
        <f t="shared" si="4"/>
        <v>-3.7435419666299666E-2</v>
      </c>
      <c r="W24" s="505"/>
      <c r="X24" s="141" t="s">
        <v>76</v>
      </c>
      <c r="Y24" s="318" t="s">
        <v>121</v>
      </c>
      <c r="Z24" s="350">
        <v>4</v>
      </c>
      <c r="AA24" s="246" t="s">
        <v>145</v>
      </c>
      <c r="AB24" s="251" t="s">
        <v>143</v>
      </c>
      <c r="AC24" s="104">
        <v>129987.97</v>
      </c>
      <c r="AD24" s="105">
        <v>105694.3</v>
      </c>
      <c r="AE24" s="323">
        <f t="shared" si="1"/>
        <v>0.22984844026593673</v>
      </c>
      <c r="AF24" s="306" t="s">
        <v>121</v>
      </c>
      <c r="AG24" s="351">
        <v>2</v>
      </c>
      <c r="AH24" s="254" t="s">
        <v>148</v>
      </c>
      <c r="AI24" s="259" t="s">
        <v>130</v>
      </c>
      <c r="AJ24" s="110">
        <v>6031.33</v>
      </c>
      <c r="AK24" s="111">
        <v>6198.01</v>
      </c>
      <c r="AL24" s="326">
        <f t="shared" si="5"/>
        <v>-2.6892502593574435E-2</v>
      </c>
      <c r="AM24" s="310" t="s">
        <v>121</v>
      </c>
      <c r="AN24" s="355">
        <v>2</v>
      </c>
      <c r="AO24" s="262" t="s">
        <v>149</v>
      </c>
      <c r="AP24" s="268" t="s">
        <v>143</v>
      </c>
      <c r="AQ24" s="116">
        <v>2747.43</v>
      </c>
      <c r="AR24" s="117">
        <v>3349.8</v>
      </c>
      <c r="AS24" s="329">
        <f t="shared" si="6"/>
        <v>-0.17982267598065566</v>
      </c>
      <c r="AT24" s="314" t="s">
        <v>121</v>
      </c>
      <c r="AU24" s="356">
        <v>2</v>
      </c>
      <c r="AV24" s="271" t="s">
        <v>141</v>
      </c>
      <c r="AW24" s="276" t="s">
        <v>143</v>
      </c>
      <c r="AX24" s="134">
        <v>1.0428999999999999</v>
      </c>
      <c r="AY24" s="135">
        <v>1.1807000000000001</v>
      </c>
      <c r="AZ24" s="332">
        <f t="shared" si="7"/>
        <v>-0.11671042601846374</v>
      </c>
    </row>
    <row r="25" spans="1:52" ht="14.5" customHeight="1" x14ac:dyDescent="0.35">
      <c r="A25" s="505"/>
      <c r="B25" s="141" t="s">
        <v>77</v>
      </c>
      <c r="C25" s="291" t="s">
        <v>122</v>
      </c>
      <c r="D25" s="249">
        <v>0.01</v>
      </c>
      <c r="E25" s="104">
        <v>115706.97</v>
      </c>
      <c r="F25" s="105">
        <v>118576.2</v>
      </c>
      <c r="G25" s="323">
        <f t="shared" si="0"/>
        <v>-2.4197351576454602E-2</v>
      </c>
      <c r="H25" s="294" t="s">
        <v>122</v>
      </c>
      <c r="I25" s="257">
        <v>8.0000000000000002E-3</v>
      </c>
      <c r="J25" s="110">
        <v>6488.58</v>
      </c>
      <c r="K25" s="111">
        <v>6711.2</v>
      </c>
      <c r="L25" s="326">
        <f t="shared" si="2"/>
        <v>-3.317141494814637E-2</v>
      </c>
      <c r="M25" s="299" t="s">
        <v>122</v>
      </c>
      <c r="N25" s="265">
        <v>8.0000000000000002E-3</v>
      </c>
      <c r="O25" s="116">
        <v>3530.58</v>
      </c>
      <c r="P25" s="117">
        <v>3897.5</v>
      </c>
      <c r="Q25" s="329">
        <f t="shared" si="3"/>
        <v>-9.4142398973701108E-2</v>
      </c>
      <c r="R25" s="303" t="s">
        <v>122</v>
      </c>
      <c r="S25" s="274">
        <v>8.0000000000000002E-3</v>
      </c>
      <c r="T25" s="134">
        <v>1.1731</v>
      </c>
      <c r="U25" s="135">
        <v>1.173</v>
      </c>
      <c r="V25" s="332">
        <f t="shared" si="4"/>
        <v>8.5251491901098875E-5</v>
      </c>
      <c r="W25" s="505"/>
      <c r="X25" s="141" t="s">
        <v>77</v>
      </c>
      <c r="Y25" s="319" t="s">
        <v>122</v>
      </c>
      <c r="Z25" s="278">
        <v>0.01</v>
      </c>
      <c r="AA25" s="248" t="s">
        <v>147</v>
      </c>
      <c r="AB25" s="249" t="s">
        <v>143</v>
      </c>
      <c r="AC25" s="104">
        <v>153529.4</v>
      </c>
      <c r="AD25" s="105">
        <v>118576.2</v>
      </c>
      <c r="AE25" s="323">
        <f t="shared" si="1"/>
        <v>0.29477416209998297</v>
      </c>
      <c r="AF25" s="307" t="s">
        <v>122</v>
      </c>
      <c r="AG25" s="283">
        <v>8.0000000000000002E-3</v>
      </c>
      <c r="AH25" s="256" t="s">
        <v>145</v>
      </c>
      <c r="AI25" s="257" t="s">
        <v>143</v>
      </c>
      <c r="AJ25" s="110">
        <v>6108.44</v>
      </c>
      <c r="AK25" s="111">
        <v>6711.2</v>
      </c>
      <c r="AL25" s="326">
        <f t="shared" si="5"/>
        <v>-8.9814042198116617E-2</v>
      </c>
      <c r="AM25" s="311" t="s">
        <v>122</v>
      </c>
      <c r="AN25" s="284">
        <v>8.0000000000000002E-3</v>
      </c>
      <c r="AO25" s="264" t="s">
        <v>142</v>
      </c>
      <c r="AP25" s="265" t="s">
        <v>143</v>
      </c>
      <c r="AQ25" s="116">
        <v>2816.46</v>
      </c>
      <c r="AR25" s="117">
        <v>3897.5</v>
      </c>
      <c r="AS25" s="329">
        <f t="shared" si="6"/>
        <v>-0.27736754329698526</v>
      </c>
      <c r="AT25" s="315" t="s">
        <v>122</v>
      </c>
      <c r="AU25" s="285">
        <v>8.0000000000000002E-3</v>
      </c>
      <c r="AV25" s="273" t="s">
        <v>140</v>
      </c>
      <c r="AW25" s="274" t="s">
        <v>143</v>
      </c>
      <c r="AX25" s="134">
        <v>1.0468</v>
      </c>
      <c r="AY25" s="135">
        <v>1.173</v>
      </c>
      <c r="AZ25" s="332">
        <f t="shared" si="7"/>
        <v>-0.10758738277919871</v>
      </c>
    </row>
    <row r="26" spans="1:52" ht="15" customHeight="1" thickBot="1" x14ac:dyDescent="0.4">
      <c r="A26" s="506"/>
      <c r="B26" s="141" t="s">
        <v>78</v>
      </c>
      <c r="C26" s="292" t="s">
        <v>123</v>
      </c>
      <c r="D26" s="250">
        <v>2.7147000000000001E-2</v>
      </c>
      <c r="E26" s="106">
        <v>91013.33</v>
      </c>
      <c r="F26" s="107">
        <v>88812.1</v>
      </c>
      <c r="G26" s="324">
        <f t="shared" si="0"/>
        <v>2.4785248856856169E-2</v>
      </c>
      <c r="H26" s="295" t="s">
        <v>123</v>
      </c>
      <c r="I26" s="258">
        <v>5.3499999999999997E-3</v>
      </c>
      <c r="J26" s="112">
        <v>6843.96</v>
      </c>
      <c r="K26" s="113">
        <v>6845.5</v>
      </c>
      <c r="L26" s="327">
        <f t="shared" si="2"/>
        <v>-2.2496530567525582E-4</v>
      </c>
      <c r="M26" s="300" t="s">
        <v>123</v>
      </c>
      <c r="N26" s="267">
        <v>5.3949999999999996E-3</v>
      </c>
      <c r="O26" s="118">
        <v>4305.95</v>
      </c>
      <c r="P26" s="119">
        <v>4361.55</v>
      </c>
      <c r="Q26" s="330">
        <f t="shared" si="3"/>
        <v>-1.2747761690224887E-2</v>
      </c>
      <c r="R26" s="304" t="s">
        <v>123</v>
      </c>
      <c r="S26" s="275">
        <v>2.9710000000000001E-3</v>
      </c>
      <c r="T26" s="136">
        <v>1.1632</v>
      </c>
      <c r="U26" s="137">
        <v>1.1746000000000001</v>
      </c>
      <c r="V26" s="333">
        <f t="shared" si="4"/>
        <v>-9.7054316363017843E-3</v>
      </c>
      <c r="W26" s="506"/>
      <c r="X26" s="141" t="s">
        <v>78</v>
      </c>
      <c r="Y26" s="320" t="s">
        <v>123</v>
      </c>
      <c r="Z26" s="279">
        <v>2.7147000000000001E-2</v>
      </c>
      <c r="AA26" s="166" t="s">
        <v>130</v>
      </c>
      <c r="AB26" s="250" t="s">
        <v>143</v>
      </c>
      <c r="AC26" s="106">
        <v>181334.3</v>
      </c>
      <c r="AD26" s="107">
        <v>88812.1</v>
      </c>
      <c r="AE26" s="324">
        <f t="shared" si="1"/>
        <v>1.0417747131303052</v>
      </c>
      <c r="AF26" s="308" t="s">
        <v>123</v>
      </c>
      <c r="AG26" s="286">
        <v>5.3499999999999997E-3</v>
      </c>
      <c r="AH26" s="160" t="s">
        <v>129</v>
      </c>
      <c r="AI26" s="258" t="s">
        <v>143</v>
      </c>
      <c r="AJ26" s="112">
        <v>6186.54</v>
      </c>
      <c r="AK26" s="113">
        <v>6845.5</v>
      </c>
      <c r="AL26" s="327">
        <f t="shared" si="5"/>
        <v>-9.6261777810240312E-2</v>
      </c>
      <c r="AM26" s="312" t="s">
        <v>123</v>
      </c>
      <c r="AN26" s="287">
        <v>5.3949999999999996E-3</v>
      </c>
      <c r="AO26" s="266" t="s">
        <v>143</v>
      </c>
      <c r="AP26" s="267" t="s">
        <v>143</v>
      </c>
      <c r="AQ26" s="118">
        <v>2887.37</v>
      </c>
      <c r="AR26" s="119">
        <v>4361.55</v>
      </c>
      <c r="AS26" s="330">
        <f t="shared" si="6"/>
        <v>-0.33799452029668359</v>
      </c>
      <c r="AT26" s="316" t="s">
        <v>123</v>
      </c>
      <c r="AU26" s="288">
        <v>2.9710000000000001E-3</v>
      </c>
      <c r="AV26" s="148" t="s">
        <v>148</v>
      </c>
      <c r="AW26" s="275" t="s">
        <v>143</v>
      </c>
      <c r="AX26" s="136">
        <v>1.0506</v>
      </c>
      <c r="AY26" s="137">
        <v>1.1746000000000001</v>
      </c>
      <c r="AZ26" s="333">
        <f t="shared" si="7"/>
        <v>-0.10556785288608897</v>
      </c>
    </row>
    <row r="27" spans="1:52" ht="14.5" customHeight="1" x14ac:dyDescent="0.35">
      <c r="A27" s="504">
        <v>2026</v>
      </c>
      <c r="B27" s="168" t="s">
        <v>79</v>
      </c>
      <c r="C27" s="289" t="s">
        <v>120</v>
      </c>
      <c r="D27" s="245"/>
      <c r="E27" s="102"/>
      <c r="F27" s="103"/>
      <c r="G27" s="322" t="e">
        <f t="shared" si="0"/>
        <v>#DIV/0!</v>
      </c>
      <c r="H27" s="296" t="s">
        <v>120</v>
      </c>
      <c r="I27" s="253">
        <v>100</v>
      </c>
      <c r="J27" s="108"/>
      <c r="K27" s="109"/>
      <c r="L27" s="325" t="e">
        <f t="shared" si="2"/>
        <v>#DIV/0!</v>
      </c>
      <c r="M27" s="297" t="s">
        <v>120</v>
      </c>
      <c r="N27" s="261"/>
      <c r="O27" s="114"/>
      <c r="P27" s="115"/>
      <c r="Q27" s="328" t="e">
        <f t="shared" si="3"/>
        <v>#DIV/0!</v>
      </c>
      <c r="R27" s="301" t="s">
        <v>120</v>
      </c>
      <c r="S27" s="270"/>
      <c r="T27" s="132"/>
      <c r="U27" s="133"/>
      <c r="V27" s="331" t="e">
        <f t="shared" si="4"/>
        <v>#DIV/0!</v>
      </c>
      <c r="W27" s="504">
        <v>2026</v>
      </c>
      <c r="X27" s="168" t="s">
        <v>79</v>
      </c>
      <c r="Y27" s="317" t="s">
        <v>120</v>
      </c>
      <c r="Z27" s="277"/>
      <c r="AA27" s="244"/>
      <c r="AB27" s="245"/>
      <c r="AC27" s="102"/>
      <c r="AD27" s="103"/>
      <c r="AE27" s="322" t="e">
        <f t="shared" si="1"/>
        <v>#DIV/0!</v>
      </c>
      <c r="AF27" s="305" t="s">
        <v>120</v>
      </c>
      <c r="AG27" s="280"/>
      <c r="AH27" s="252"/>
      <c r="AI27" s="253"/>
      <c r="AJ27" s="108"/>
      <c r="AK27" s="109"/>
      <c r="AL27" s="325" t="e">
        <f t="shared" si="5"/>
        <v>#DIV/0!</v>
      </c>
      <c r="AM27" s="309" t="s">
        <v>120</v>
      </c>
      <c r="AN27" s="281"/>
      <c r="AO27" s="260"/>
      <c r="AP27" s="261"/>
      <c r="AQ27" s="114"/>
      <c r="AR27" s="115"/>
      <c r="AS27" s="328" t="e">
        <f t="shared" si="6"/>
        <v>#DIV/0!</v>
      </c>
      <c r="AT27" s="313" t="s">
        <v>120</v>
      </c>
      <c r="AU27" s="282"/>
      <c r="AV27" s="269"/>
      <c r="AW27" s="270"/>
      <c r="AX27" s="132"/>
      <c r="AY27" s="133"/>
      <c r="AZ27" s="331" t="e">
        <f t="shared" si="7"/>
        <v>#DIV/0!</v>
      </c>
    </row>
    <row r="28" spans="1:52" ht="14.5" customHeight="1" x14ac:dyDescent="0.35">
      <c r="A28" s="505"/>
      <c r="B28" s="141" t="s">
        <v>80</v>
      </c>
      <c r="C28" s="290" t="s">
        <v>121</v>
      </c>
      <c r="D28" s="251"/>
      <c r="E28" s="104"/>
      <c r="F28" s="105"/>
      <c r="G28" s="323" t="e">
        <f t="shared" si="0"/>
        <v>#DIV/0!</v>
      </c>
      <c r="H28" s="293" t="s">
        <v>121</v>
      </c>
      <c r="I28" s="334">
        <v>2</v>
      </c>
      <c r="J28" s="110"/>
      <c r="K28" s="111"/>
      <c r="L28" s="326" t="e">
        <f t="shared" si="2"/>
        <v>#DIV/0!</v>
      </c>
      <c r="M28" s="298" t="s">
        <v>121</v>
      </c>
      <c r="N28" s="268"/>
      <c r="O28" s="116"/>
      <c r="P28" s="117"/>
      <c r="Q28" s="329" t="e">
        <f t="shared" si="3"/>
        <v>#DIV/0!</v>
      </c>
      <c r="R28" s="302" t="s">
        <v>121</v>
      </c>
      <c r="S28" s="276"/>
      <c r="T28" s="134"/>
      <c r="U28" s="135"/>
      <c r="V28" s="332" t="e">
        <f t="shared" si="4"/>
        <v>#DIV/0!</v>
      </c>
      <c r="W28" s="505"/>
      <c r="X28" s="141" t="s">
        <v>80</v>
      </c>
      <c r="Y28" s="318" t="s">
        <v>121</v>
      </c>
      <c r="Z28" s="350"/>
      <c r="AA28" s="246"/>
      <c r="AB28" s="251"/>
      <c r="AC28" s="104"/>
      <c r="AD28" s="105"/>
      <c r="AE28" s="323" t="e">
        <f t="shared" si="1"/>
        <v>#DIV/0!</v>
      </c>
      <c r="AF28" s="306" t="s">
        <v>121</v>
      </c>
      <c r="AG28" s="351"/>
      <c r="AH28" s="254"/>
      <c r="AI28" s="259"/>
      <c r="AJ28" s="110"/>
      <c r="AK28" s="111"/>
      <c r="AL28" s="326" t="e">
        <f t="shared" si="5"/>
        <v>#DIV/0!</v>
      </c>
      <c r="AM28" s="310" t="s">
        <v>121</v>
      </c>
      <c r="AN28" s="355"/>
      <c r="AO28" s="262"/>
      <c r="AP28" s="268"/>
      <c r="AQ28" s="116"/>
      <c r="AR28" s="117"/>
      <c r="AS28" s="329" t="e">
        <f t="shared" si="6"/>
        <v>#DIV/0!</v>
      </c>
      <c r="AT28" s="314" t="s">
        <v>121</v>
      </c>
      <c r="AU28" s="356"/>
      <c r="AV28" s="271"/>
      <c r="AW28" s="276"/>
      <c r="AX28" s="134"/>
      <c r="AY28" s="135"/>
      <c r="AZ28" s="332" t="e">
        <f t="shared" si="7"/>
        <v>#DIV/0!</v>
      </c>
    </row>
    <row r="29" spans="1:52" ht="14.5" customHeight="1" x14ac:dyDescent="0.35">
      <c r="A29" s="505"/>
      <c r="B29" s="141" t="s">
        <v>81</v>
      </c>
      <c r="C29" s="291" t="s">
        <v>122</v>
      </c>
      <c r="D29" s="249"/>
      <c r="E29" s="104"/>
      <c r="F29" s="105"/>
      <c r="G29" s="323" t="e">
        <f t="shared" si="0"/>
        <v>#DIV/0!</v>
      </c>
      <c r="H29" s="294" t="s">
        <v>122</v>
      </c>
      <c r="I29" s="257">
        <v>0.01</v>
      </c>
      <c r="J29" s="110"/>
      <c r="K29" s="111"/>
      <c r="L29" s="326" t="e">
        <f t="shared" si="2"/>
        <v>#DIV/0!</v>
      </c>
      <c r="M29" s="299" t="s">
        <v>122</v>
      </c>
      <c r="N29" s="265"/>
      <c r="O29" s="116"/>
      <c r="P29" s="117"/>
      <c r="Q29" s="329" t="e">
        <f t="shared" si="3"/>
        <v>#DIV/0!</v>
      </c>
      <c r="R29" s="303" t="s">
        <v>122</v>
      </c>
      <c r="S29" s="274"/>
      <c r="T29" s="134"/>
      <c r="U29" s="135"/>
      <c r="V29" s="332" t="e">
        <f t="shared" si="4"/>
        <v>#DIV/0!</v>
      </c>
      <c r="W29" s="505"/>
      <c r="X29" s="141" t="s">
        <v>81</v>
      </c>
      <c r="Y29" s="319" t="s">
        <v>122</v>
      </c>
      <c r="Z29" s="278"/>
      <c r="AA29" s="248"/>
      <c r="AB29" s="249"/>
      <c r="AC29" s="104"/>
      <c r="AD29" s="105"/>
      <c r="AE29" s="323" t="e">
        <f t="shared" si="1"/>
        <v>#DIV/0!</v>
      </c>
      <c r="AF29" s="307" t="s">
        <v>122</v>
      </c>
      <c r="AG29" s="283"/>
      <c r="AH29" s="256"/>
      <c r="AI29" s="257"/>
      <c r="AJ29" s="110"/>
      <c r="AK29" s="111"/>
      <c r="AL29" s="326" t="e">
        <f t="shared" si="5"/>
        <v>#DIV/0!</v>
      </c>
      <c r="AM29" s="311" t="s">
        <v>122</v>
      </c>
      <c r="AN29" s="284"/>
      <c r="AO29" s="264"/>
      <c r="AP29" s="265"/>
      <c r="AQ29" s="116"/>
      <c r="AR29" s="117"/>
      <c r="AS29" s="329" t="e">
        <f t="shared" si="6"/>
        <v>#DIV/0!</v>
      </c>
      <c r="AT29" s="315" t="s">
        <v>122</v>
      </c>
      <c r="AU29" s="285"/>
      <c r="AV29" s="273"/>
      <c r="AW29" s="274"/>
      <c r="AX29" s="134"/>
      <c r="AY29" s="135"/>
      <c r="AZ29" s="332" t="e">
        <f t="shared" si="7"/>
        <v>#DIV/0!</v>
      </c>
    </row>
    <row r="30" spans="1:52" ht="15" customHeight="1" thickBot="1" x14ac:dyDescent="0.4">
      <c r="A30" s="516"/>
      <c r="B30" s="143" t="s">
        <v>82</v>
      </c>
      <c r="C30" s="292" t="s">
        <v>123</v>
      </c>
      <c r="D30" s="250"/>
      <c r="E30" s="106"/>
      <c r="F30" s="107"/>
      <c r="G30" s="324" t="e">
        <f t="shared" si="0"/>
        <v>#DIV/0!</v>
      </c>
      <c r="H30" s="295" t="s">
        <v>123</v>
      </c>
      <c r="I30" s="258">
        <v>5.1120000000000002E-3</v>
      </c>
      <c r="J30" s="112"/>
      <c r="K30" s="113"/>
      <c r="L30" s="327" t="e">
        <f t="shared" si="2"/>
        <v>#DIV/0!</v>
      </c>
      <c r="M30" s="300" t="s">
        <v>123</v>
      </c>
      <c r="N30" s="267"/>
      <c r="O30" s="118"/>
      <c r="P30" s="119"/>
      <c r="Q30" s="330" t="e">
        <f t="shared" si="3"/>
        <v>#DIV/0!</v>
      </c>
      <c r="R30" s="304" t="s">
        <v>123</v>
      </c>
      <c r="S30" s="275"/>
      <c r="T30" s="136"/>
      <c r="U30" s="137"/>
      <c r="V30" s="333" t="e">
        <f t="shared" si="4"/>
        <v>#DIV/0!</v>
      </c>
      <c r="W30" s="516"/>
      <c r="X30" s="143" t="s">
        <v>82</v>
      </c>
      <c r="Y30" s="320" t="s">
        <v>123</v>
      </c>
      <c r="Z30" s="279"/>
      <c r="AA30" s="166"/>
      <c r="AB30" s="250"/>
      <c r="AC30" s="106"/>
      <c r="AD30" s="107"/>
      <c r="AE30" s="324" t="e">
        <f t="shared" si="1"/>
        <v>#DIV/0!</v>
      </c>
      <c r="AF30" s="308" t="s">
        <v>123</v>
      </c>
      <c r="AG30" s="286"/>
      <c r="AH30" s="160"/>
      <c r="AI30" s="258"/>
      <c r="AJ30" s="112"/>
      <c r="AK30" s="113"/>
      <c r="AL30" s="327" t="e">
        <f t="shared" si="5"/>
        <v>#DIV/0!</v>
      </c>
      <c r="AM30" s="312" t="s">
        <v>123</v>
      </c>
      <c r="AN30" s="287"/>
      <c r="AO30" s="266"/>
      <c r="AP30" s="267"/>
      <c r="AQ30" s="118"/>
      <c r="AR30" s="119"/>
      <c r="AS30" s="330" t="e">
        <f t="shared" si="6"/>
        <v>#DIV/0!</v>
      </c>
      <c r="AT30" s="316" t="s">
        <v>123</v>
      </c>
      <c r="AU30" s="288"/>
      <c r="AV30" s="148"/>
      <c r="AW30" s="275"/>
      <c r="AX30" s="136"/>
      <c r="AY30" s="137"/>
      <c r="AZ30" s="333" t="e">
        <f t="shared" si="7"/>
        <v>#DIV/0!</v>
      </c>
    </row>
    <row r="31" spans="1:52" x14ac:dyDescent="0.35">
      <c r="F31" t="s">
        <v>108</v>
      </c>
      <c r="G31" s="121" cm="1">
        <f t="array" ref="G31">AVERAGE(ABS(G3:G26))</f>
        <v>0.13992101242401314</v>
      </c>
      <c r="K31" t="s">
        <v>108</v>
      </c>
      <c r="L31" s="124" cm="1">
        <f t="array" ref="L31">AVERAGE(ABS(L3:L26))</f>
        <v>4.6815342761204144E-2</v>
      </c>
      <c r="P31" t="s">
        <v>108</v>
      </c>
      <c r="Q31" s="127" cm="1">
        <f t="array" ref="Q31">AVERAGE(ABS(Q3:Q26))</f>
        <v>3.3684124859575469E-2</v>
      </c>
      <c r="U31" t="s">
        <v>108</v>
      </c>
      <c r="V31" s="130" cm="1">
        <f t="array" ref="V31">AVERAGE(ABS(V3:V26))</f>
        <v>1.5684043596424616E-2</v>
      </c>
      <c r="AD31" t="s">
        <v>108</v>
      </c>
      <c r="AE31" s="121" cm="1">
        <f t="array" ref="AE31">AVERAGE(ABS(AE3:AE26))</f>
        <v>0.78659071866964547</v>
      </c>
      <c r="AK31" t="s">
        <v>108</v>
      </c>
      <c r="AL31" s="124" cm="1">
        <f t="array" ref="AL31">AVERAGE(ABS(AL3:AL26))</f>
        <v>0.13106220860414822</v>
      </c>
      <c r="AR31" t="s">
        <v>108</v>
      </c>
      <c r="AS31" s="127" cm="1">
        <f t="array" ref="AS31">AVERAGE(ABS(AS3:AS26))</f>
        <v>0.11846856750952502</v>
      </c>
      <c r="AY31" t="s">
        <v>108</v>
      </c>
      <c r="AZ31" s="130" cm="1">
        <f t="array" ref="AZ31">AVERAGE(ABS(AZ3:AZ26))</f>
        <v>5.6554423548711229E-2</v>
      </c>
    </row>
    <row r="33" spans="27:55" x14ac:dyDescent="0.35">
      <c r="AA33" t="s">
        <v>176</v>
      </c>
      <c r="AB33" t="s">
        <v>177</v>
      </c>
      <c r="AH33" t="s">
        <v>176</v>
      </c>
      <c r="AI33" t="s">
        <v>177</v>
      </c>
      <c r="AO33" t="s">
        <v>176</v>
      </c>
      <c r="AP33" t="s">
        <v>177</v>
      </c>
      <c r="AV33" t="s">
        <v>176</v>
      </c>
      <c r="AW33" t="s">
        <v>177</v>
      </c>
      <c r="BB33" s="589" t="s">
        <v>178</v>
      </c>
      <c r="BC33" s="589"/>
    </row>
    <row r="34" spans="27:55" x14ac:dyDescent="0.35">
      <c r="AA34" t="s">
        <v>129</v>
      </c>
      <c r="AB34">
        <v>6</v>
      </c>
      <c r="AH34" t="s">
        <v>144</v>
      </c>
      <c r="AI34">
        <v>6</v>
      </c>
      <c r="AO34" t="s">
        <v>149</v>
      </c>
      <c r="AP34">
        <v>6</v>
      </c>
      <c r="AV34" t="s">
        <v>151</v>
      </c>
      <c r="AW34">
        <v>5</v>
      </c>
      <c r="BB34" t="s">
        <v>129</v>
      </c>
      <c r="BC34">
        <v>11</v>
      </c>
    </row>
    <row r="35" spans="27:55" x14ac:dyDescent="0.35">
      <c r="AA35" t="s">
        <v>130</v>
      </c>
      <c r="AB35">
        <v>6</v>
      </c>
      <c r="AH35" t="s">
        <v>148</v>
      </c>
      <c r="AI35">
        <v>5</v>
      </c>
      <c r="AO35" t="s">
        <v>142</v>
      </c>
      <c r="AP35">
        <v>6</v>
      </c>
      <c r="AV35" t="s">
        <v>140</v>
      </c>
      <c r="AW35">
        <v>3</v>
      </c>
      <c r="BB35" t="s">
        <v>150</v>
      </c>
      <c r="BC35">
        <v>11</v>
      </c>
    </row>
    <row r="36" spans="27:55" x14ac:dyDescent="0.35">
      <c r="AA36" t="s">
        <v>145</v>
      </c>
      <c r="AB36">
        <v>4</v>
      </c>
      <c r="AH36" t="s">
        <v>147</v>
      </c>
      <c r="AI36">
        <v>3</v>
      </c>
      <c r="AO36" t="s">
        <v>150</v>
      </c>
      <c r="AP36">
        <v>5</v>
      </c>
      <c r="AV36" t="s">
        <v>146</v>
      </c>
      <c r="AW36">
        <v>3</v>
      </c>
      <c r="BB36" t="s">
        <v>140</v>
      </c>
      <c r="BC36">
        <v>10</v>
      </c>
    </row>
    <row r="37" spans="27:55" x14ac:dyDescent="0.35">
      <c r="AA37" t="s">
        <v>147</v>
      </c>
      <c r="AB37">
        <v>4</v>
      </c>
      <c r="AH37" t="s">
        <v>151</v>
      </c>
      <c r="AI37">
        <v>3</v>
      </c>
      <c r="AO37" t="s">
        <v>140</v>
      </c>
      <c r="AP37">
        <v>4</v>
      </c>
      <c r="AV37" t="s">
        <v>129</v>
      </c>
      <c r="AW37">
        <v>3</v>
      </c>
      <c r="BB37" t="s">
        <v>130</v>
      </c>
      <c r="BC37">
        <v>10</v>
      </c>
    </row>
    <row r="38" spans="27:55" x14ac:dyDescent="0.35">
      <c r="AA38" t="s">
        <v>150</v>
      </c>
      <c r="AB38">
        <v>3</v>
      </c>
      <c r="AH38" t="s">
        <v>130</v>
      </c>
      <c r="AI38">
        <v>3</v>
      </c>
      <c r="AO38" t="s">
        <v>144</v>
      </c>
      <c r="AP38">
        <v>2</v>
      </c>
      <c r="AV38" t="s">
        <v>141</v>
      </c>
      <c r="AW38">
        <v>2</v>
      </c>
      <c r="BB38" t="s">
        <v>147</v>
      </c>
      <c r="BC38">
        <v>8</v>
      </c>
    </row>
    <row r="39" spans="27:55" x14ac:dyDescent="0.35">
      <c r="AA39" t="s">
        <v>140</v>
      </c>
      <c r="AB39">
        <v>2</v>
      </c>
      <c r="AH39" t="s">
        <v>145</v>
      </c>
      <c r="AI39">
        <v>3</v>
      </c>
      <c r="AO39" t="s">
        <v>147</v>
      </c>
      <c r="AP39">
        <v>1</v>
      </c>
      <c r="AV39" t="s">
        <v>150</v>
      </c>
      <c r="AW39">
        <v>1</v>
      </c>
      <c r="BB39" t="s">
        <v>151</v>
      </c>
      <c r="BC39">
        <v>8</v>
      </c>
    </row>
    <row r="40" spans="27:55" x14ac:dyDescent="0.35">
      <c r="AA40" t="s">
        <v>141</v>
      </c>
      <c r="AB40">
        <v>2</v>
      </c>
      <c r="AH40" t="s">
        <v>149</v>
      </c>
      <c r="AI40">
        <v>2</v>
      </c>
      <c r="AO40" t="s">
        <v>146</v>
      </c>
      <c r="AP40">
        <v>1</v>
      </c>
      <c r="AV40" t="s">
        <v>148</v>
      </c>
      <c r="AW40">
        <v>1</v>
      </c>
      <c r="BB40" t="s">
        <v>149</v>
      </c>
      <c r="BC40">
        <v>8</v>
      </c>
    </row>
    <row r="41" spans="27:55" x14ac:dyDescent="0.35">
      <c r="AA41" t="s">
        <v>142</v>
      </c>
      <c r="AB41">
        <v>1</v>
      </c>
      <c r="AH41" t="s">
        <v>129</v>
      </c>
      <c r="AI41">
        <v>2</v>
      </c>
      <c r="AO41" t="s">
        <v>166</v>
      </c>
      <c r="AP41">
        <v>1</v>
      </c>
      <c r="BB41" t="s">
        <v>142</v>
      </c>
      <c r="BC41">
        <v>8</v>
      </c>
    </row>
    <row r="42" spans="27:55" x14ac:dyDescent="0.35">
      <c r="AH42" t="s">
        <v>150</v>
      </c>
      <c r="AI42">
        <v>2</v>
      </c>
      <c r="AO42" t="s">
        <v>130</v>
      </c>
      <c r="AP42">
        <v>1</v>
      </c>
      <c r="BB42" t="s">
        <v>144</v>
      </c>
      <c r="BC42">
        <v>8</v>
      </c>
    </row>
    <row r="43" spans="27:55" x14ac:dyDescent="0.35">
      <c r="AH43" t="s">
        <v>141</v>
      </c>
      <c r="AI43">
        <v>1</v>
      </c>
      <c r="BB43" t="s">
        <v>145</v>
      </c>
      <c r="BC43">
        <v>7</v>
      </c>
    </row>
    <row r="44" spans="27:55" x14ac:dyDescent="0.35">
      <c r="AH44" t="s">
        <v>140</v>
      </c>
      <c r="AI44">
        <v>1</v>
      </c>
      <c r="BB44" t="s">
        <v>148</v>
      </c>
      <c r="BC44">
        <v>6</v>
      </c>
    </row>
    <row r="45" spans="27:55" x14ac:dyDescent="0.35">
      <c r="AH45" t="s">
        <v>142</v>
      </c>
      <c r="AI45">
        <v>1</v>
      </c>
      <c r="BB45" t="s">
        <v>146</v>
      </c>
      <c r="BC45">
        <v>5</v>
      </c>
    </row>
    <row r="46" spans="27:55" x14ac:dyDescent="0.35">
      <c r="AH46" t="s">
        <v>146</v>
      </c>
      <c r="AI46">
        <v>1</v>
      </c>
      <c r="BB46" t="s">
        <v>141</v>
      </c>
      <c r="BC46">
        <v>5</v>
      </c>
    </row>
    <row r="47" spans="27:55" x14ac:dyDescent="0.35">
      <c r="BB47" t="s">
        <v>166</v>
      </c>
      <c r="BC47">
        <v>1</v>
      </c>
    </row>
  </sheetData>
  <mergeCells count="41">
    <mergeCell ref="AT1:AZ1"/>
    <mergeCell ref="Y1:AE1"/>
    <mergeCell ref="BJ2:BK2"/>
    <mergeCell ref="BB33:BC33"/>
    <mergeCell ref="M1:Q1"/>
    <mergeCell ref="R2:S2"/>
    <mergeCell ref="R1:V1"/>
    <mergeCell ref="AF1:AL1"/>
    <mergeCell ref="AM1:AS1"/>
    <mergeCell ref="BB3:BF3"/>
    <mergeCell ref="AF2:AG2"/>
    <mergeCell ref="AM2:AN2"/>
    <mergeCell ref="AT2:AU2"/>
    <mergeCell ref="AH2:AI2"/>
    <mergeCell ref="AO2:AP2"/>
    <mergeCell ref="AV2:AW2"/>
    <mergeCell ref="A27:A30"/>
    <mergeCell ref="C1:G1"/>
    <mergeCell ref="C2:D2"/>
    <mergeCell ref="A15:A18"/>
    <mergeCell ref="W15:W18"/>
    <mergeCell ref="A19:A22"/>
    <mergeCell ref="W19:W22"/>
    <mergeCell ref="A23:A26"/>
    <mergeCell ref="W23:W26"/>
    <mergeCell ref="A11:A14"/>
    <mergeCell ref="W11:W14"/>
    <mergeCell ref="A1:B1"/>
    <mergeCell ref="W1:X1"/>
    <mergeCell ref="W27:W30"/>
    <mergeCell ref="H2:I2"/>
    <mergeCell ref="H1:L1"/>
    <mergeCell ref="A3:A6"/>
    <mergeCell ref="W3:W6"/>
    <mergeCell ref="A7:A10"/>
    <mergeCell ref="W7:W10"/>
    <mergeCell ref="AA2:AB2"/>
    <mergeCell ref="A2:B2"/>
    <mergeCell ref="W2:X2"/>
    <mergeCell ref="Y2:Z2"/>
    <mergeCell ref="M2:N2"/>
  </mergeCells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FB0F-F9A1-42E2-A1FA-A66519956D9F}">
  <sheetPr>
    <tabColor rgb="FFFF0000"/>
  </sheetPr>
  <dimension ref="A1:AX31"/>
  <sheetViews>
    <sheetView topLeftCell="U3" zoomScale="115" zoomScaleNormal="55" workbookViewId="0">
      <selection activeCell="AW34" sqref="AW34"/>
    </sheetView>
  </sheetViews>
  <sheetFormatPr defaultRowHeight="14.5" x14ac:dyDescent="0.35"/>
  <cols>
    <col min="1" max="1" width="8.90625" bestFit="1" customWidth="1"/>
    <col min="2" max="2" width="11.81640625" customWidth="1"/>
    <col min="3" max="3" width="13.1796875" customWidth="1"/>
    <col min="4" max="4" width="11.26953125" customWidth="1"/>
    <col min="5" max="5" width="10.453125" bestFit="1" customWidth="1"/>
    <col min="6" max="6" width="10.7265625" customWidth="1"/>
    <col min="7" max="7" width="10.36328125" customWidth="1"/>
    <col min="8" max="8" width="12.7265625" customWidth="1"/>
    <col min="9" max="9" width="11.26953125" customWidth="1"/>
    <col min="10" max="10" width="8.81640625" bestFit="1" customWidth="1"/>
    <col min="11" max="11" width="10.90625" bestFit="1" customWidth="1"/>
    <col min="12" max="12" width="13.1796875" bestFit="1" customWidth="1"/>
    <col min="13" max="13" width="12.36328125" customWidth="1"/>
    <col min="14" max="14" width="11.26953125" customWidth="1"/>
    <col min="16" max="16" width="10.90625" bestFit="1" customWidth="1"/>
    <col min="17" max="17" width="13.1796875" bestFit="1" customWidth="1"/>
    <col min="18" max="18" width="12.26953125" customWidth="1"/>
    <col min="19" max="19" width="11.26953125" customWidth="1"/>
    <col min="21" max="21" width="9.453125" bestFit="1" customWidth="1"/>
    <col min="22" max="22" width="13.1796875" bestFit="1" customWidth="1"/>
    <col min="23" max="23" width="9" bestFit="1" customWidth="1"/>
    <col min="24" max="24" width="12.6328125" customWidth="1"/>
    <col min="25" max="25" width="12" customWidth="1"/>
    <col min="26" max="26" width="11.26953125" customWidth="1"/>
    <col min="27" max="27" width="10.453125" customWidth="1"/>
    <col min="28" max="29" width="13.1796875" bestFit="1" customWidth="1"/>
    <col min="30" max="30" width="12.1796875" customWidth="1"/>
    <col min="31" max="31" width="11.26953125" customWidth="1"/>
    <col min="33" max="33" width="10.90625" bestFit="1" customWidth="1"/>
    <col min="34" max="34" width="13.1796875" bestFit="1" customWidth="1"/>
    <col min="35" max="35" width="12.36328125" customWidth="1"/>
    <col min="36" max="36" width="11.81640625" customWidth="1"/>
    <col min="38" max="38" width="10.90625" bestFit="1" customWidth="1"/>
    <col min="39" max="39" width="13.1796875" bestFit="1" customWidth="1"/>
    <col min="40" max="40" width="13.08984375" customWidth="1"/>
    <col min="41" max="41" width="11.6328125" customWidth="1"/>
    <col min="43" max="43" width="9.453125" bestFit="1" customWidth="1"/>
    <col min="44" max="44" width="13.1796875" bestFit="1" customWidth="1"/>
    <col min="46" max="46" width="15" customWidth="1"/>
    <col min="47" max="47" width="13.6328125" customWidth="1"/>
    <col min="48" max="48" width="12.54296875" customWidth="1"/>
    <col min="49" max="49" width="12.90625" customWidth="1"/>
    <col min="50" max="50" width="12.6328125" customWidth="1"/>
    <col min="54" max="54" width="11.1796875" customWidth="1"/>
    <col min="55" max="55" width="13.08984375" customWidth="1"/>
    <col min="57" max="57" width="11.54296875" customWidth="1"/>
    <col min="58" max="58" width="22.36328125" customWidth="1"/>
  </cols>
  <sheetData>
    <row r="1" spans="1:50" ht="15" thickBot="1" x14ac:dyDescent="0.4">
      <c r="A1" s="491" t="s">
        <v>85</v>
      </c>
      <c r="B1" s="492"/>
      <c r="C1" s="466" t="s">
        <v>35</v>
      </c>
      <c r="D1" s="467"/>
      <c r="E1" s="467"/>
      <c r="F1" s="467"/>
      <c r="G1" s="468"/>
      <c r="H1" s="493" t="s">
        <v>36</v>
      </c>
      <c r="I1" s="494"/>
      <c r="J1" s="494"/>
      <c r="K1" s="494"/>
      <c r="L1" s="495"/>
      <c r="M1" s="496" t="s">
        <v>38</v>
      </c>
      <c r="N1" s="497"/>
      <c r="O1" s="497"/>
      <c r="P1" s="497"/>
      <c r="Q1" s="498"/>
      <c r="R1" s="499" t="s">
        <v>39</v>
      </c>
      <c r="S1" s="500"/>
      <c r="T1" s="500"/>
      <c r="U1" s="500"/>
      <c r="V1" s="501"/>
      <c r="W1" s="491" t="s">
        <v>86</v>
      </c>
      <c r="X1" s="492"/>
      <c r="Y1" s="466" t="s">
        <v>35</v>
      </c>
      <c r="Z1" s="467"/>
      <c r="AA1" s="467"/>
      <c r="AB1" s="467"/>
      <c r="AC1" s="468"/>
      <c r="AD1" s="469" t="s">
        <v>36</v>
      </c>
      <c r="AE1" s="470"/>
      <c r="AF1" s="471"/>
      <c r="AG1" s="471"/>
      <c r="AH1" s="472"/>
      <c r="AI1" s="473" t="s">
        <v>38</v>
      </c>
      <c r="AJ1" s="474"/>
      <c r="AK1" s="475"/>
      <c r="AL1" s="475"/>
      <c r="AM1" s="476"/>
      <c r="AN1" s="477" t="s">
        <v>39</v>
      </c>
      <c r="AO1" s="478"/>
      <c r="AP1" s="479"/>
      <c r="AQ1" s="479"/>
      <c r="AR1" s="480"/>
    </row>
    <row r="2" spans="1:50" ht="15" thickBot="1" x14ac:dyDescent="0.4">
      <c r="A2" s="481" t="s">
        <v>54</v>
      </c>
      <c r="B2" s="482"/>
      <c r="C2" s="483" t="s">
        <v>87</v>
      </c>
      <c r="D2" s="484"/>
      <c r="E2" s="93" t="s">
        <v>1</v>
      </c>
      <c r="F2" s="94" t="s">
        <v>8</v>
      </c>
      <c r="G2" s="95" t="s">
        <v>10</v>
      </c>
      <c r="H2" s="485" t="s">
        <v>87</v>
      </c>
      <c r="I2" s="486"/>
      <c r="J2" s="97" t="s">
        <v>1</v>
      </c>
      <c r="K2" s="96" t="s">
        <v>8</v>
      </c>
      <c r="L2" s="97" t="s">
        <v>10</v>
      </c>
      <c r="M2" s="487" t="s">
        <v>87</v>
      </c>
      <c r="N2" s="488"/>
      <c r="O2" s="99" t="s">
        <v>1</v>
      </c>
      <c r="P2" s="98" t="s">
        <v>8</v>
      </c>
      <c r="Q2" s="99" t="s">
        <v>10</v>
      </c>
      <c r="R2" s="489" t="s">
        <v>87</v>
      </c>
      <c r="S2" s="490"/>
      <c r="T2" s="101" t="s">
        <v>1</v>
      </c>
      <c r="U2" s="100" t="s">
        <v>8</v>
      </c>
      <c r="V2" s="101" t="s">
        <v>10</v>
      </c>
      <c r="W2" s="481" t="s">
        <v>54</v>
      </c>
      <c r="X2" s="482"/>
      <c r="Y2" s="483" t="s">
        <v>87</v>
      </c>
      <c r="Z2" s="484"/>
      <c r="AA2" s="93" t="s">
        <v>1</v>
      </c>
      <c r="AB2" s="94" t="s">
        <v>8</v>
      </c>
      <c r="AC2" s="95" t="s">
        <v>10</v>
      </c>
      <c r="AD2" s="485" t="s">
        <v>87</v>
      </c>
      <c r="AE2" s="486"/>
      <c r="AF2" s="97" t="s">
        <v>1</v>
      </c>
      <c r="AG2" s="96" t="s">
        <v>8</v>
      </c>
      <c r="AH2" s="97" t="s">
        <v>10</v>
      </c>
      <c r="AI2" s="637" t="s">
        <v>87</v>
      </c>
      <c r="AJ2" s="638"/>
      <c r="AK2" s="99" t="s">
        <v>1</v>
      </c>
      <c r="AL2" s="98" t="s">
        <v>8</v>
      </c>
      <c r="AM2" s="99" t="s">
        <v>10</v>
      </c>
      <c r="AN2" s="489" t="s">
        <v>87</v>
      </c>
      <c r="AO2" s="490"/>
      <c r="AP2" s="101" t="s">
        <v>1</v>
      </c>
      <c r="AQ2" s="100" t="s">
        <v>8</v>
      </c>
      <c r="AR2" s="101" t="s">
        <v>10</v>
      </c>
    </row>
    <row r="3" spans="1:50" ht="14.5" customHeight="1" thickBot="1" x14ac:dyDescent="0.4">
      <c r="A3" s="504">
        <v>2020</v>
      </c>
      <c r="B3" s="168" t="s">
        <v>55</v>
      </c>
      <c r="C3" s="289" t="s">
        <v>207</v>
      </c>
      <c r="D3" s="387">
        <v>40</v>
      </c>
      <c r="E3" s="102">
        <v>7546.54</v>
      </c>
      <c r="F3" s="103">
        <v>6638.5</v>
      </c>
      <c r="G3" s="322">
        <f t="shared" ref="G3:G30" si="0">(E3-F3)/F3</f>
        <v>0.13678391202831963</v>
      </c>
      <c r="H3" s="296" t="s">
        <v>207</v>
      </c>
      <c r="I3" s="389">
        <v>40</v>
      </c>
      <c r="J3" s="108">
        <v>2961.21</v>
      </c>
      <c r="K3" s="109">
        <v>2470.5</v>
      </c>
      <c r="L3" s="325">
        <f>(J3-K3)/K3</f>
        <v>0.19862780813600486</v>
      </c>
      <c r="M3" s="297" t="s">
        <v>207</v>
      </c>
      <c r="N3" s="391">
        <v>40</v>
      </c>
      <c r="O3" s="114">
        <v>1585.48</v>
      </c>
      <c r="P3" s="115">
        <v>1584.1</v>
      </c>
      <c r="Q3" s="328">
        <f>(O3-P3)/P3</f>
        <v>8.711571239190134E-4</v>
      </c>
      <c r="R3" s="301" t="s">
        <v>207</v>
      </c>
      <c r="S3" s="392">
        <v>20</v>
      </c>
      <c r="T3" s="132">
        <v>1.1064000000000001</v>
      </c>
      <c r="U3" s="133">
        <v>1.0962000000000001</v>
      </c>
      <c r="V3" s="331">
        <f>(T3-U3)/U3</f>
        <v>9.3048713738368791E-3</v>
      </c>
      <c r="W3" s="504">
        <v>2020</v>
      </c>
      <c r="X3" s="168" t="s">
        <v>55</v>
      </c>
      <c r="Y3" s="289" t="s">
        <v>207</v>
      </c>
      <c r="Z3" s="387">
        <v>40</v>
      </c>
      <c r="AA3" s="102">
        <v>7611.21</v>
      </c>
      <c r="AB3" s="103">
        <v>6638.5</v>
      </c>
      <c r="AC3" s="322">
        <f t="shared" ref="AC3:AC30" si="1">(AA3-AB3)/AB3</f>
        <v>0.14652557053551254</v>
      </c>
      <c r="AD3" s="296" t="s">
        <v>207</v>
      </c>
      <c r="AE3" s="389">
        <v>40</v>
      </c>
      <c r="AF3" s="108">
        <v>3233.55</v>
      </c>
      <c r="AG3" s="109">
        <v>2470.5</v>
      </c>
      <c r="AH3" s="325">
        <f>(AF3-AG3)/AG3</f>
        <v>0.30886460230722534</v>
      </c>
      <c r="AI3" s="639" t="s">
        <v>207</v>
      </c>
      <c r="AJ3" s="640">
        <v>40</v>
      </c>
      <c r="AK3" s="114">
        <v>1567.21</v>
      </c>
      <c r="AL3" s="115">
        <v>1584.1</v>
      </c>
      <c r="AM3" s="328">
        <f>(AK3-AL3)/AL3</f>
        <v>-1.0662205668833958E-2</v>
      </c>
      <c r="AN3" s="301" t="s">
        <v>207</v>
      </c>
      <c r="AO3" s="392">
        <v>20</v>
      </c>
      <c r="AP3" s="132">
        <v>1.1266</v>
      </c>
      <c r="AQ3" s="133">
        <v>1.0962000000000001</v>
      </c>
      <c r="AR3" s="331">
        <f>(AP3-AQ3)/AQ3</f>
        <v>2.773216566320013E-2</v>
      </c>
      <c r="AT3" s="507" t="s">
        <v>212</v>
      </c>
      <c r="AU3" s="508"/>
      <c r="AV3" s="508"/>
      <c r="AW3" s="508"/>
      <c r="AX3" s="509"/>
    </row>
    <row r="4" spans="1:50" ht="14.5" customHeight="1" thickBot="1" x14ac:dyDescent="0.4">
      <c r="A4" s="505"/>
      <c r="B4" s="141" t="s">
        <v>56</v>
      </c>
      <c r="C4" s="290" t="s">
        <v>209</v>
      </c>
      <c r="D4" s="321">
        <v>32</v>
      </c>
      <c r="E4" s="104">
        <v>10675.7</v>
      </c>
      <c r="F4" s="105">
        <v>9229.9</v>
      </c>
      <c r="G4" s="323">
        <f t="shared" si="0"/>
        <v>0.1566430838903998</v>
      </c>
      <c r="H4" s="293" t="s">
        <v>209</v>
      </c>
      <c r="I4" s="334">
        <v>64</v>
      </c>
      <c r="J4" s="110">
        <v>3075.03</v>
      </c>
      <c r="K4" s="111">
        <v>3115.9</v>
      </c>
      <c r="L4" s="326">
        <f>(J4-K4)/K4</f>
        <v>-1.3116595526172179E-2</v>
      </c>
      <c r="M4" s="298" t="s">
        <v>209</v>
      </c>
      <c r="N4" s="336">
        <v>64</v>
      </c>
      <c r="O4" s="116">
        <v>1764.69</v>
      </c>
      <c r="P4" s="117">
        <v>1779.9</v>
      </c>
      <c r="Q4" s="329">
        <f>(O4-P4)/P4</f>
        <v>-8.5454239002191335E-3</v>
      </c>
      <c r="R4" s="302" t="s">
        <v>209</v>
      </c>
      <c r="S4" s="335">
        <v>32</v>
      </c>
      <c r="T4" s="134">
        <v>1.1163000000000001</v>
      </c>
      <c r="U4" s="135">
        <v>1.125</v>
      </c>
      <c r="V4" s="332">
        <f>(T4-U4)/U4</f>
        <v>-7.7333333333332709E-3</v>
      </c>
      <c r="W4" s="505"/>
      <c r="X4" s="141" t="s">
        <v>56</v>
      </c>
      <c r="Y4" s="290" t="s">
        <v>209</v>
      </c>
      <c r="Z4" s="321">
        <v>32</v>
      </c>
      <c r="AA4" s="104">
        <v>8058.64</v>
      </c>
      <c r="AB4" s="105">
        <v>9229.9</v>
      </c>
      <c r="AC4" s="323">
        <f t="shared" si="1"/>
        <v>-0.12689844960400432</v>
      </c>
      <c r="AD4" s="293" t="s">
        <v>209</v>
      </c>
      <c r="AE4" s="334">
        <v>64</v>
      </c>
      <c r="AF4" s="110">
        <v>3237.08</v>
      </c>
      <c r="AG4" s="111">
        <v>3115.9</v>
      </c>
      <c r="AH4" s="326">
        <f>(AF4-AG4)/AG4</f>
        <v>3.889085015565321E-2</v>
      </c>
      <c r="AI4" s="641" t="s">
        <v>209</v>
      </c>
      <c r="AJ4" s="642">
        <v>64</v>
      </c>
      <c r="AK4" s="116">
        <v>1610.85</v>
      </c>
      <c r="AL4" s="117">
        <v>1779.9</v>
      </c>
      <c r="AM4" s="329">
        <f>(AK4-AL4)/AL4</f>
        <v>-9.4977245912691827E-2</v>
      </c>
      <c r="AN4" s="302" t="s">
        <v>209</v>
      </c>
      <c r="AO4" s="335">
        <v>32</v>
      </c>
      <c r="AP4" s="134">
        <v>1.1312</v>
      </c>
      <c r="AQ4" s="135">
        <v>1.125</v>
      </c>
      <c r="AR4" s="332">
        <f>(AP4-AQ4)/AQ4</f>
        <v>5.511111111111096E-3</v>
      </c>
      <c r="AT4" s="203" t="s">
        <v>98</v>
      </c>
      <c r="AU4" s="204" t="s">
        <v>35</v>
      </c>
      <c r="AV4" s="205" t="s">
        <v>36</v>
      </c>
      <c r="AW4" s="206" t="s">
        <v>38</v>
      </c>
      <c r="AX4" s="207" t="s">
        <v>39</v>
      </c>
    </row>
    <row r="5" spans="1:50" ht="14.5" customHeight="1" x14ac:dyDescent="0.35">
      <c r="A5" s="505"/>
      <c r="B5" s="141" t="s">
        <v>57</v>
      </c>
      <c r="C5" s="291" t="s">
        <v>208</v>
      </c>
      <c r="D5" s="388">
        <v>3</v>
      </c>
      <c r="E5" s="104">
        <v>11056.73</v>
      </c>
      <c r="F5" s="105">
        <v>10620.5</v>
      </c>
      <c r="G5" s="323">
        <f t="shared" si="0"/>
        <v>4.1074337366413971E-2</v>
      </c>
      <c r="H5" s="294" t="s">
        <v>208</v>
      </c>
      <c r="I5" s="390">
        <v>3</v>
      </c>
      <c r="J5" s="110">
        <v>3542.38</v>
      </c>
      <c r="K5" s="111">
        <v>3380.8</v>
      </c>
      <c r="L5" s="326">
        <f>(J5-K5)/K5</f>
        <v>4.779342167534309E-2</v>
      </c>
      <c r="M5" s="299" t="s">
        <v>208</v>
      </c>
      <c r="N5" s="339">
        <v>2</v>
      </c>
      <c r="O5" s="116">
        <v>1982.35</v>
      </c>
      <c r="P5" s="117">
        <v>1912.3</v>
      </c>
      <c r="Q5" s="329">
        <f>(O5-P5)/P5</f>
        <v>3.6631281702661694E-2</v>
      </c>
      <c r="R5" s="303" t="s">
        <v>208</v>
      </c>
      <c r="S5" s="340">
        <v>3</v>
      </c>
      <c r="T5" s="134">
        <v>1.1947000000000001</v>
      </c>
      <c r="U5" s="135">
        <v>1.1747000000000001</v>
      </c>
      <c r="V5" s="332">
        <f>(T5-U5)/U5</f>
        <v>1.7025623563463026E-2</v>
      </c>
      <c r="W5" s="505"/>
      <c r="X5" s="141" t="s">
        <v>57</v>
      </c>
      <c r="Y5" s="291" t="s">
        <v>208</v>
      </c>
      <c r="Z5" s="388">
        <v>3</v>
      </c>
      <c r="AA5" s="104">
        <v>8624.77</v>
      </c>
      <c r="AB5" s="105">
        <v>10620.5</v>
      </c>
      <c r="AC5" s="323">
        <f t="shared" si="1"/>
        <v>-0.18791299844640078</v>
      </c>
      <c r="AD5" s="294" t="s">
        <v>208</v>
      </c>
      <c r="AE5" s="390">
        <v>3</v>
      </c>
      <c r="AF5" s="110">
        <v>3240.66</v>
      </c>
      <c r="AG5" s="111">
        <v>3380.8</v>
      </c>
      <c r="AH5" s="326">
        <f>(AF5-AG5)/AG5</f>
        <v>-4.1451727401798484E-2</v>
      </c>
      <c r="AI5" s="643" t="s">
        <v>208</v>
      </c>
      <c r="AJ5" s="644">
        <v>2</v>
      </c>
      <c r="AK5" s="116">
        <v>1656.84</v>
      </c>
      <c r="AL5" s="117">
        <v>1912.3</v>
      </c>
      <c r="AM5" s="329">
        <f>(AK5-AL5)/AL5</f>
        <v>-0.13358782617790099</v>
      </c>
      <c r="AN5" s="303" t="s">
        <v>208</v>
      </c>
      <c r="AO5" s="340">
        <v>3</v>
      </c>
      <c r="AP5" s="134">
        <v>1.1355999999999999</v>
      </c>
      <c r="AQ5" s="135">
        <v>1.1747000000000001</v>
      </c>
      <c r="AR5" s="332">
        <f>(AP5-AQ5)/AQ5</f>
        <v>-3.3285094066570299E-2</v>
      </c>
      <c r="AT5" s="171" t="s">
        <v>99</v>
      </c>
      <c r="AU5" s="173">
        <v>88812.1</v>
      </c>
      <c r="AV5" s="178">
        <v>6845.5</v>
      </c>
      <c r="AW5" s="183">
        <v>4361.55</v>
      </c>
      <c r="AX5" s="188">
        <v>1.1746000000000001</v>
      </c>
    </row>
    <row r="6" spans="1:50" ht="15" customHeight="1" thickBot="1" x14ac:dyDescent="0.4">
      <c r="A6" s="506"/>
      <c r="B6" s="141" t="s">
        <v>58</v>
      </c>
      <c r="C6" s="292" t="s">
        <v>123</v>
      </c>
      <c r="D6" s="250">
        <v>2.3335999999999999E-2</v>
      </c>
      <c r="E6" s="106">
        <v>20014.71</v>
      </c>
      <c r="F6" s="107">
        <v>29359.9</v>
      </c>
      <c r="G6" s="324">
        <f t="shared" si="0"/>
        <v>-0.31829774624572976</v>
      </c>
      <c r="H6" s="295" t="s">
        <v>123</v>
      </c>
      <c r="I6" s="258">
        <v>3.718E-3</v>
      </c>
      <c r="J6" s="112">
        <v>3714.64</v>
      </c>
      <c r="K6" s="113">
        <v>3756.1</v>
      </c>
      <c r="L6" s="327">
        <f>(J6-K6)/K6</f>
        <v>-1.1038044780490412E-2</v>
      </c>
      <c r="M6" s="300" t="s">
        <v>123</v>
      </c>
      <c r="N6" s="267">
        <v>3.176E-3</v>
      </c>
      <c r="O6" s="118">
        <v>1839.52</v>
      </c>
      <c r="P6" s="119">
        <v>1895.1</v>
      </c>
      <c r="Q6" s="330">
        <f>(O6-P6)/P6</f>
        <v>-2.9328267637591648E-2</v>
      </c>
      <c r="R6" s="304" t="s">
        <v>123</v>
      </c>
      <c r="S6" s="275">
        <v>2.2569999999999999E-3</v>
      </c>
      <c r="T6" s="136">
        <v>1.2062999999999999</v>
      </c>
      <c r="U6" s="137">
        <v>1.2213000000000001</v>
      </c>
      <c r="V6" s="333">
        <f>(T6-U6)/U6</f>
        <v>-1.2281994595922479E-2</v>
      </c>
      <c r="W6" s="506"/>
      <c r="X6" s="141" t="s">
        <v>58</v>
      </c>
      <c r="Y6" s="292" t="s">
        <v>123</v>
      </c>
      <c r="Z6" s="250">
        <v>2.3335999999999999E-2</v>
      </c>
      <c r="AA6" s="106">
        <v>9302.1200000000008</v>
      </c>
      <c r="AB6" s="107">
        <v>29359.9</v>
      </c>
      <c r="AC6" s="324">
        <f t="shared" si="1"/>
        <v>-0.68316922060361229</v>
      </c>
      <c r="AD6" s="295" t="s">
        <v>123</v>
      </c>
      <c r="AE6" s="258">
        <v>3.718E-3</v>
      </c>
      <c r="AF6" s="112">
        <v>3244.23</v>
      </c>
      <c r="AG6" s="113">
        <v>3756.1</v>
      </c>
      <c r="AH6" s="327">
        <f>(AF6-AG6)/AG6</f>
        <v>-0.13627698943052632</v>
      </c>
      <c r="AI6" s="645" t="s">
        <v>123</v>
      </c>
      <c r="AJ6" s="646">
        <v>3.176E-3</v>
      </c>
      <c r="AK6" s="118">
        <v>1701.59</v>
      </c>
      <c r="AL6" s="119">
        <v>1895.1</v>
      </c>
      <c r="AM6" s="330">
        <f>(AK6-AL6)/AL6</f>
        <v>-0.10211070655902063</v>
      </c>
      <c r="AN6" s="304" t="s">
        <v>123</v>
      </c>
      <c r="AO6" s="275">
        <v>2.2569999999999999E-3</v>
      </c>
      <c r="AP6" s="136">
        <v>1.1397999999999999</v>
      </c>
      <c r="AQ6" s="137">
        <v>1.2213000000000001</v>
      </c>
      <c r="AR6" s="333">
        <f>(AP6-AQ6)/AQ6</f>
        <v>-6.673217063784502E-2</v>
      </c>
      <c r="AT6" s="171" t="s">
        <v>1</v>
      </c>
      <c r="AU6" s="173">
        <v>41325.33</v>
      </c>
      <c r="AV6" s="178">
        <v>3316.06</v>
      </c>
      <c r="AW6" s="183">
        <v>2959.86</v>
      </c>
      <c r="AX6" s="188">
        <v>1.224</v>
      </c>
    </row>
    <row r="7" spans="1:50" ht="14.5" customHeight="1" thickBot="1" x14ac:dyDescent="0.4">
      <c r="A7" s="504">
        <v>2021</v>
      </c>
      <c r="B7" s="168" t="s">
        <v>59</v>
      </c>
      <c r="C7" s="289" t="s">
        <v>207</v>
      </c>
      <c r="D7" s="387">
        <v>20</v>
      </c>
      <c r="E7" s="102">
        <v>49983.6</v>
      </c>
      <c r="F7" s="103">
        <v>58718.3</v>
      </c>
      <c r="G7" s="322">
        <f t="shared" si="0"/>
        <v>-0.14875600962561933</v>
      </c>
      <c r="H7" s="296" t="s">
        <v>207</v>
      </c>
      <c r="I7" s="389">
        <v>40</v>
      </c>
      <c r="J7" s="108">
        <v>3911.15</v>
      </c>
      <c r="K7" s="109">
        <v>4019.9</v>
      </c>
      <c r="L7" s="325">
        <f t="shared" ref="L7:L30" si="2">(J7-K7)/K7</f>
        <v>-2.7052911763974227E-2</v>
      </c>
      <c r="M7" s="297" t="s">
        <v>207</v>
      </c>
      <c r="N7" s="391">
        <v>20</v>
      </c>
      <c r="O7" s="114">
        <v>1746.51</v>
      </c>
      <c r="P7" s="115">
        <v>1727.3</v>
      </c>
      <c r="Q7" s="328">
        <f t="shared" ref="Q7:Q30" si="3">(O7-P7)/P7</f>
        <v>1.1121403346262975E-2</v>
      </c>
      <c r="R7" s="301" t="s">
        <v>207</v>
      </c>
      <c r="S7" s="392">
        <v>40</v>
      </c>
      <c r="T7" s="132">
        <v>1.2062999999999999</v>
      </c>
      <c r="U7" s="133">
        <v>1.1775</v>
      </c>
      <c r="V7" s="331">
        <f t="shared" ref="V7:V30" si="4">(T7-U7)/U7</f>
        <v>2.4458598726114597E-2</v>
      </c>
      <c r="W7" s="504">
        <v>2021</v>
      </c>
      <c r="X7" s="168" t="s">
        <v>59</v>
      </c>
      <c r="Y7" s="289" t="s">
        <v>207</v>
      </c>
      <c r="Z7" s="387">
        <v>20</v>
      </c>
      <c r="AA7" s="102">
        <v>72593.62</v>
      </c>
      <c r="AB7" s="103">
        <v>58718.3</v>
      </c>
      <c r="AC7" s="322">
        <f t="shared" si="1"/>
        <v>0.23630316272780363</v>
      </c>
      <c r="AD7" s="296" t="s">
        <v>207</v>
      </c>
      <c r="AE7" s="389">
        <v>40</v>
      </c>
      <c r="AF7" s="108">
        <v>3829.2</v>
      </c>
      <c r="AG7" s="109">
        <v>4019.9</v>
      </c>
      <c r="AH7" s="325">
        <f t="shared" ref="AH7:AH30" si="5">(AF7-AG7)/AG7</f>
        <v>-4.7438991019677176E-2</v>
      </c>
      <c r="AI7" s="639" t="s">
        <v>207</v>
      </c>
      <c r="AJ7" s="640">
        <v>20</v>
      </c>
      <c r="AK7" s="114">
        <v>1902.39</v>
      </c>
      <c r="AL7" s="115">
        <v>1727.3</v>
      </c>
      <c r="AM7" s="328">
        <f t="shared" ref="AM7:AM30" si="6">(AK7-AL7)/AL7</f>
        <v>0.10136629421640719</v>
      </c>
      <c r="AN7" s="301" t="s">
        <v>207</v>
      </c>
      <c r="AO7" s="392">
        <v>40</v>
      </c>
      <c r="AP7" s="132">
        <v>1.2319</v>
      </c>
      <c r="AQ7" s="133">
        <v>1.1775</v>
      </c>
      <c r="AR7" s="331">
        <f t="shared" ref="AR7:AR30" si="7">(AP7-AQ7)/AQ7</f>
        <v>4.6199575371549895E-2</v>
      </c>
      <c r="AT7" s="171" t="s">
        <v>10</v>
      </c>
      <c r="AU7" s="174">
        <f>(AU6-AU5)/AU5</f>
        <v>-0.53468806615314801</v>
      </c>
      <c r="AV7" s="179">
        <f t="shared" ref="AV7:AX7" si="8">(AV6-AV5)/AV5</f>
        <v>-0.51558542107954131</v>
      </c>
      <c r="AW7" s="184">
        <f>(AW6-AW5)/AW5</f>
        <v>-0.32137428207861884</v>
      </c>
      <c r="AX7" s="189">
        <f t="shared" si="8"/>
        <v>4.2056870423974019E-2</v>
      </c>
    </row>
    <row r="8" spans="1:50" ht="14.5" customHeight="1" x14ac:dyDescent="0.35">
      <c r="A8" s="505"/>
      <c r="B8" s="141" t="s">
        <v>60</v>
      </c>
      <c r="C8" s="290" t="s">
        <v>209</v>
      </c>
      <c r="D8" s="321">
        <v>64</v>
      </c>
      <c r="E8" s="104">
        <v>35583.839999999997</v>
      </c>
      <c r="F8" s="105">
        <v>33543.599999999999</v>
      </c>
      <c r="G8" s="323">
        <f t="shared" si="0"/>
        <v>6.0823525203019299E-2</v>
      </c>
      <c r="H8" s="293" t="s">
        <v>209</v>
      </c>
      <c r="I8" s="334">
        <v>64</v>
      </c>
      <c r="J8" s="110">
        <v>4222.1499999999996</v>
      </c>
      <c r="K8" s="111">
        <v>4319.8999999999996</v>
      </c>
      <c r="L8" s="326">
        <f t="shared" si="2"/>
        <v>-2.2627838607375172E-2</v>
      </c>
      <c r="M8" s="298" t="s">
        <v>209</v>
      </c>
      <c r="N8" s="339">
        <v>32</v>
      </c>
      <c r="O8" s="116">
        <v>1914.35</v>
      </c>
      <c r="P8" s="117">
        <v>1776.8</v>
      </c>
      <c r="Q8" s="329">
        <f t="shared" si="3"/>
        <v>7.7414452949121998E-2</v>
      </c>
      <c r="R8" s="302" t="s">
        <v>209</v>
      </c>
      <c r="S8" s="340">
        <v>64</v>
      </c>
      <c r="T8" s="134">
        <v>1.2237</v>
      </c>
      <c r="U8" s="135">
        <v>1.1848000000000001</v>
      </c>
      <c r="V8" s="332">
        <f t="shared" si="4"/>
        <v>3.283254557731257E-2</v>
      </c>
      <c r="W8" s="505"/>
      <c r="X8" s="141" t="s">
        <v>60</v>
      </c>
      <c r="Y8" s="290" t="s">
        <v>209</v>
      </c>
      <c r="Z8" s="388">
        <v>64</v>
      </c>
      <c r="AA8" s="104">
        <v>91988.49</v>
      </c>
      <c r="AB8" s="105">
        <v>33543.599999999999</v>
      </c>
      <c r="AC8" s="323">
        <f t="shared" si="1"/>
        <v>1.7423559188638074</v>
      </c>
      <c r="AD8" s="293" t="s">
        <v>209</v>
      </c>
      <c r="AE8" s="390">
        <v>64</v>
      </c>
      <c r="AF8" s="110">
        <v>3901.46</v>
      </c>
      <c r="AG8" s="111">
        <v>4319.8999999999996</v>
      </c>
      <c r="AH8" s="326">
        <f t="shared" si="5"/>
        <v>-9.6863353318363765E-2</v>
      </c>
      <c r="AI8" s="641" t="s">
        <v>209</v>
      </c>
      <c r="AJ8" s="644">
        <v>32</v>
      </c>
      <c r="AK8" s="116">
        <v>1905.61</v>
      </c>
      <c r="AL8" s="117">
        <v>1776.8</v>
      </c>
      <c r="AM8" s="329">
        <f t="shared" si="6"/>
        <v>7.2495497523637972E-2</v>
      </c>
      <c r="AN8" s="302" t="s">
        <v>209</v>
      </c>
      <c r="AO8" s="340">
        <v>64</v>
      </c>
      <c r="AP8" s="134">
        <v>1.2422</v>
      </c>
      <c r="AQ8" s="135">
        <v>1.1848000000000001</v>
      </c>
      <c r="AR8" s="332">
        <f t="shared" si="7"/>
        <v>4.8446995273463786E-2</v>
      </c>
      <c r="AT8" s="229" t="s">
        <v>207</v>
      </c>
      <c r="AU8" s="363">
        <v>40</v>
      </c>
      <c r="AV8" s="364">
        <v>40</v>
      </c>
      <c r="AW8" s="365">
        <v>40</v>
      </c>
      <c r="AX8" s="366">
        <v>20</v>
      </c>
    </row>
    <row r="9" spans="1:50" ht="14.5" customHeight="1" x14ac:dyDescent="0.35">
      <c r="A9" s="505"/>
      <c r="B9" s="141" t="s">
        <v>61</v>
      </c>
      <c r="C9" s="291" t="s">
        <v>208</v>
      </c>
      <c r="D9" s="388">
        <v>2</v>
      </c>
      <c r="E9" s="104">
        <v>47786.31</v>
      </c>
      <c r="F9" s="105">
        <v>48146</v>
      </c>
      <c r="G9" s="323">
        <f t="shared" si="0"/>
        <v>-7.4708179287999487E-3</v>
      </c>
      <c r="H9" s="294" t="s">
        <v>208</v>
      </c>
      <c r="I9" s="390">
        <v>3</v>
      </c>
      <c r="J9" s="110">
        <v>4532.18</v>
      </c>
      <c r="K9" s="111">
        <v>4357</v>
      </c>
      <c r="L9" s="326">
        <f t="shared" si="2"/>
        <v>4.0206564149644318E-2</v>
      </c>
      <c r="M9" s="299" t="s">
        <v>208</v>
      </c>
      <c r="N9" s="339">
        <v>3</v>
      </c>
      <c r="O9" s="116">
        <v>1844.07</v>
      </c>
      <c r="P9" s="117">
        <v>1757.7</v>
      </c>
      <c r="Q9" s="329">
        <f t="shared" si="3"/>
        <v>4.913807817033617E-2</v>
      </c>
      <c r="R9" s="303" t="s">
        <v>208</v>
      </c>
      <c r="S9" s="340">
        <v>3</v>
      </c>
      <c r="T9" s="134">
        <v>1.1855</v>
      </c>
      <c r="U9" s="135">
        <v>1.1594</v>
      </c>
      <c r="V9" s="332">
        <f t="shared" si="4"/>
        <v>2.25116439537692E-2</v>
      </c>
      <c r="W9" s="505"/>
      <c r="X9" s="141" t="s">
        <v>61</v>
      </c>
      <c r="Y9" s="291" t="s">
        <v>208</v>
      </c>
      <c r="Z9" s="388">
        <v>2</v>
      </c>
      <c r="AA9" s="104">
        <v>112500.61</v>
      </c>
      <c r="AB9" s="105">
        <v>48146</v>
      </c>
      <c r="AC9" s="323">
        <f t="shared" si="1"/>
        <v>1.3366553815477922</v>
      </c>
      <c r="AD9" s="294" t="s">
        <v>208</v>
      </c>
      <c r="AE9" s="390">
        <v>3</v>
      </c>
      <c r="AF9" s="110">
        <v>3975.5</v>
      </c>
      <c r="AG9" s="111">
        <v>4357</v>
      </c>
      <c r="AH9" s="326">
        <f t="shared" si="5"/>
        <v>-8.756024787697958E-2</v>
      </c>
      <c r="AI9" s="643" t="s">
        <v>208</v>
      </c>
      <c r="AJ9" s="644">
        <v>3</v>
      </c>
      <c r="AK9" s="116">
        <v>1908.1</v>
      </c>
      <c r="AL9" s="117">
        <v>1757.7</v>
      </c>
      <c r="AM9" s="329">
        <f t="shared" si="6"/>
        <v>8.5566365136257524E-2</v>
      </c>
      <c r="AN9" s="303" t="s">
        <v>208</v>
      </c>
      <c r="AO9" s="340">
        <v>3</v>
      </c>
      <c r="AP9" s="134">
        <v>1.2527999999999999</v>
      </c>
      <c r="AQ9" s="135">
        <v>1.1594</v>
      </c>
      <c r="AR9" s="332">
        <f t="shared" si="7"/>
        <v>8.0558909780921104E-2</v>
      </c>
      <c r="AT9" s="338" t="s">
        <v>209</v>
      </c>
      <c r="AU9" s="367">
        <v>32</v>
      </c>
      <c r="AV9" s="368">
        <v>64</v>
      </c>
      <c r="AW9" s="369">
        <v>64</v>
      </c>
      <c r="AX9" s="370">
        <v>32</v>
      </c>
    </row>
    <row r="10" spans="1:50" ht="15" customHeight="1" thickBot="1" x14ac:dyDescent="0.4">
      <c r="A10" s="505"/>
      <c r="B10" s="141" t="s">
        <v>62</v>
      </c>
      <c r="C10" s="292" t="s">
        <v>123</v>
      </c>
      <c r="D10" s="250">
        <v>2.4951000000000001E-2</v>
      </c>
      <c r="E10" s="106">
        <v>54492.98</v>
      </c>
      <c r="F10" s="107">
        <v>47738</v>
      </c>
      <c r="G10" s="324">
        <f t="shared" si="0"/>
        <v>0.14150111022665388</v>
      </c>
      <c r="H10" s="295" t="s">
        <v>123</v>
      </c>
      <c r="I10" s="258">
        <v>5.9750000000000003E-3</v>
      </c>
      <c r="J10" s="112">
        <v>4545.4399999999996</v>
      </c>
      <c r="K10" s="113">
        <v>4766.2</v>
      </c>
      <c r="L10" s="327">
        <f t="shared" si="2"/>
        <v>-4.6317821325164751E-2</v>
      </c>
      <c r="M10" s="300" t="s">
        <v>123</v>
      </c>
      <c r="N10" s="267">
        <v>4.2050000000000004E-3</v>
      </c>
      <c r="O10" s="118">
        <v>1793.12</v>
      </c>
      <c r="P10" s="119">
        <v>1828.6</v>
      </c>
      <c r="Q10" s="330">
        <f t="shared" si="3"/>
        <v>-1.9402821830908901E-2</v>
      </c>
      <c r="R10" s="304" t="s">
        <v>123</v>
      </c>
      <c r="S10" s="275">
        <v>2.271E-3</v>
      </c>
      <c r="T10" s="136">
        <v>1.1306</v>
      </c>
      <c r="U10" s="137">
        <v>1.1368</v>
      </c>
      <c r="V10" s="333">
        <f t="shared" si="4"/>
        <v>-5.4539057002111037E-3</v>
      </c>
      <c r="W10" s="505"/>
      <c r="X10" s="141" t="s">
        <v>62</v>
      </c>
      <c r="Y10" s="292" t="s">
        <v>123</v>
      </c>
      <c r="Z10" s="250">
        <v>2.4951000000000001E-2</v>
      </c>
      <c r="AA10" s="106">
        <v>137480.32000000001</v>
      </c>
      <c r="AB10" s="107">
        <v>47738</v>
      </c>
      <c r="AC10" s="324">
        <f t="shared" si="1"/>
        <v>1.8798927479157068</v>
      </c>
      <c r="AD10" s="295" t="s">
        <v>123</v>
      </c>
      <c r="AE10" s="258">
        <v>5.9750000000000003E-3</v>
      </c>
      <c r="AF10" s="112">
        <v>4050.87</v>
      </c>
      <c r="AG10" s="113">
        <v>4766.2</v>
      </c>
      <c r="AH10" s="327">
        <f t="shared" si="5"/>
        <v>-0.15008392430028114</v>
      </c>
      <c r="AI10" s="645" t="s">
        <v>123</v>
      </c>
      <c r="AJ10" s="646">
        <v>4.2050000000000004E-3</v>
      </c>
      <c r="AK10" s="118">
        <v>1910.22</v>
      </c>
      <c r="AL10" s="119">
        <v>1828.6</v>
      </c>
      <c r="AM10" s="330">
        <f t="shared" si="6"/>
        <v>4.4635240074373903E-2</v>
      </c>
      <c r="AN10" s="304" t="s">
        <v>123</v>
      </c>
      <c r="AO10" s="275">
        <v>2.271E-3</v>
      </c>
      <c r="AP10" s="136">
        <v>1.2633000000000001</v>
      </c>
      <c r="AQ10" s="137">
        <v>1.1368</v>
      </c>
      <c r="AR10" s="333">
        <f t="shared" si="7"/>
        <v>0.1112772695285011</v>
      </c>
      <c r="AT10" s="338" t="s">
        <v>208</v>
      </c>
      <c r="AU10" s="367">
        <v>3</v>
      </c>
      <c r="AV10" s="368">
        <v>3</v>
      </c>
      <c r="AW10" s="369">
        <v>2</v>
      </c>
      <c r="AX10" s="370">
        <v>3</v>
      </c>
    </row>
    <row r="11" spans="1:50" ht="14.5" customHeight="1" x14ac:dyDescent="0.35">
      <c r="A11" s="504">
        <v>2022</v>
      </c>
      <c r="B11" s="168" t="s">
        <v>63</v>
      </c>
      <c r="C11" s="289" t="s">
        <v>207</v>
      </c>
      <c r="D11" s="387">
        <v>20</v>
      </c>
      <c r="E11" s="102">
        <v>51340.02</v>
      </c>
      <c r="F11" s="103">
        <v>46297</v>
      </c>
      <c r="G11" s="322">
        <f t="shared" si="0"/>
        <v>0.10892757630084016</v>
      </c>
      <c r="H11" s="296" t="s">
        <v>207</v>
      </c>
      <c r="I11" s="389">
        <v>20</v>
      </c>
      <c r="J11" s="108">
        <v>4339.3100000000004</v>
      </c>
      <c r="K11" s="109">
        <v>4545.8599999999997</v>
      </c>
      <c r="L11" s="325">
        <f t="shared" si="2"/>
        <v>-4.5436947024325276E-2</v>
      </c>
      <c r="M11" s="297" t="s">
        <v>207</v>
      </c>
      <c r="N11" s="391">
        <v>40</v>
      </c>
      <c r="O11" s="114">
        <v>1981</v>
      </c>
      <c r="P11" s="115">
        <v>1951.1</v>
      </c>
      <c r="Q11" s="328">
        <f t="shared" si="3"/>
        <v>1.5324688637179075E-2</v>
      </c>
      <c r="R11" s="301" t="s">
        <v>207</v>
      </c>
      <c r="S11" s="392">
        <v>40</v>
      </c>
      <c r="T11" s="132">
        <v>1.1154999999999999</v>
      </c>
      <c r="U11" s="133">
        <v>1.1052999999999999</v>
      </c>
      <c r="V11" s="331">
        <f t="shared" si="4"/>
        <v>9.2282638197774252E-3</v>
      </c>
      <c r="W11" s="504">
        <v>2022</v>
      </c>
      <c r="X11" s="168" t="s">
        <v>63</v>
      </c>
      <c r="Y11" s="289" t="s">
        <v>207</v>
      </c>
      <c r="Z11" s="387">
        <v>20</v>
      </c>
      <c r="AA11" s="102">
        <v>55472.66</v>
      </c>
      <c r="AB11" s="103">
        <v>46297</v>
      </c>
      <c r="AC11" s="322">
        <f t="shared" si="1"/>
        <v>0.19819124349309897</v>
      </c>
      <c r="AD11" s="296" t="s">
        <v>207</v>
      </c>
      <c r="AE11" s="389">
        <v>20</v>
      </c>
      <c r="AF11" s="108">
        <v>4869.16</v>
      </c>
      <c r="AG11" s="109">
        <v>4545.8599999999997</v>
      </c>
      <c r="AH11" s="325">
        <f t="shared" si="5"/>
        <v>7.111965612667355E-2</v>
      </c>
      <c r="AI11" s="639" t="s">
        <v>207</v>
      </c>
      <c r="AJ11" s="640">
        <v>40</v>
      </c>
      <c r="AK11" s="114">
        <v>1834.55</v>
      </c>
      <c r="AL11" s="115">
        <v>1951.1</v>
      </c>
      <c r="AM11" s="328">
        <f t="shared" si="6"/>
        <v>-5.973553380144532E-2</v>
      </c>
      <c r="AN11" s="301" t="s">
        <v>207</v>
      </c>
      <c r="AO11" s="392">
        <v>40</v>
      </c>
      <c r="AP11" s="132">
        <v>1.1400999999999999</v>
      </c>
      <c r="AQ11" s="133">
        <v>1.1052999999999999</v>
      </c>
      <c r="AR11" s="331">
        <f t="shared" si="7"/>
        <v>3.1484664796887669E-2</v>
      </c>
      <c r="AT11" s="338" t="s">
        <v>170</v>
      </c>
      <c r="AU11" s="359">
        <v>1E-3</v>
      </c>
      <c r="AV11" s="360">
        <v>1E-3</v>
      </c>
      <c r="AW11" s="361">
        <v>1E-3</v>
      </c>
      <c r="AX11" s="362">
        <v>1E-3</v>
      </c>
    </row>
    <row r="12" spans="1:50" ht="14.5" customHeight="1" thickBot="1" x14ac:dyDescent="0.4">
      <c r="A12" s="505"/>
      <c r="B12" s="141" t="s">
        <v>64</v>
      </c>
      <c r="C12" s="290" t="s">
        <v>209</v>
      </c>
      <c r="D12" s="321">
        <v>64</v>
      </c>
      <c r="E12" s="104">
        <v>32065.83</v>
      </c>
      <c r="F12" s="105">
        <v>19262.900000000001</v>
      </c>
      <c r="G12" s="323">
        <f t="shared" si="0"/>
        <v>0.66464187635298944</v>
      </c>
      <c r="H12" s="293" t="s">
        <v>209</v>
      </c>
      <c r="I12" s="334">
        <v>64</v>
      </c>
      <c r="J12" s="110">
        <v>4140.8500000000004</v>
      </c>
      <c r="K12" s="111">
        <v>3825.33</v>
      </c>
      <c r="L12" s="326">
        <f t="shared" si="2"/>
        <v>8.248177281437169E-2</v>
      </c>
      <c r="M12" s="298" t="s">
        <v>209</v>
      </c>
      <c r="N12" s="339">
        <v>64</v>
      </c>
      <c r="O12" s="116">
        <v>1874.62</v>
      </c>
      <c r="P12" s="117">
        <v>1807.3</v>
      </c>
      <c r="Q12" s="329">
        <f t="shared" si="3"/>
        <v>3.7248934875228207E-2</v>
      </c>
      <c r="R12" s="302" t="s">
        <v>209</v>
      </c>
      <c r="S12" s="340">
        <v>32</v>
      </c>
      <c r="T12" s="134">
        <v>1.0658000000000001</v>
      </c>
      <c r="U12" s="135">
        <v>1.0427999999999999</v>
      </c>
      <c r="V12" s="332">
        <f t="shared" si="4"/>
        <v>2.2056003068661425E-2</v>
      </c>
      <c r="W12" s="505"/>
      <c r="X12" s="141" t="s">
        <v>64</v>
      </c>
      <c r="Y12" s="290" t="s">
        <v>209</v>
      </c>
      <c r="Z12" s="388">
        <v>64</v>
      </c>
      <c r="AA12" s="104">
        <v>69800.639999999999</v>
      </c>
      <c r="AB12" s="105">
        <v>19262.900000000001</v>
      </c>
      <c r="AC12" s="323">
        <f t="shared" si="1"/>
        <v>2.6235790041997826</v>
      </c>
      <c r="AD12" s="293" t="s">
        <v>209</v>
      </c>
      <c r="AE12" s="390">
        <v>64</v>
      </c>
      <c r="AF12" s="110">
        <v>4974.55</v>
      </c>
      <c r="AG12" s="111">
        <v>3825.33</v>
      </c>
      <c r="AH12" s="326">
        <f t="shared" si="5"/>
        <v>0.30042375429047957</v>
      </c>
      <c r="AI12" s="641" t="s">
        <v>209</v>
      </c>
      <c r="AJ12" s="644">
        <v>64</v>
      </c>
      <c r="AK12" s="116">
        <v>1840.81</v>
      </c>
      <c r="AL12" s="117">
        <v>1807.3</v>
      </c>
      <c r="AM12" s="329">
        <f t="shared" si="6"/>
        <v>1.8541470702152379E-2</v>
      </c>
      <c r="AN12" s="302" t="s">
        <v>209</v>
      </c>
      <c r="AO12" s="340">
        <v>32</v>
      </c>
      <c r="AP12" s="134">
        <v>1.1406000000000001</v>
      </c>
      <c r="AQ12" s="135">
        <v>1.0427999999999999</v>
      </c>
      <c r="AR12" s="332">
        <f t="shared" si="7"/>
        <v>9.3785960874568572E-2</v>
      </c>
      <c r="AT12" s="209" t="s">
        <v>123</v>
      </c>
      <c r="AU12" s="234">
        <v>2.3335999999999999E-2</v>
      </c>
      <c r="AV12" s="235">
        <v>3.718E-3</v>
      </c>
      <c r="AW12" s="236">
        <v>3.176E-3</v>
      </c>
      <c r="AX12" s="237">
        <v>2.2569999999999999E-3</v>
      </c>
    </row>
    <row r="13" spans="1:50" ht="14.5" customHeight="1" x14ac:dyDescent="0.35">
      <c r="A13" s="505"/>
      <c r="B13" s="141" t="s">
        <v>65</v>
      </c>
      <c r="C13" s="291" t="s">
        <v>208</v>
      </c>
      <c r="D13" s="388">
        <v>3</v>
      </c>
      <c r="E13" s="104">
        <v>20449.080000000002</v>
      </c>
      <c r="F13" s="105">
        <v>19311.900000000001</v>
      </c>
      <c r="G13" s="323">
        <f t="shared" si="0"/>
        <v>5.8884936231028549E-2</v>
      </c>
      <c r="H13" s="294" t="s">
        <v>208</v>
      </c>
      <c r="I13" s="390">
        <v>2</v>
      </c>
      <c r="J13" s="110">
        <v>3991.37</v>
      </c>
      <c r="K13" s="111">
        <v>3585.62</v>
      </c>
      <c r="L13" s="326">
        <f t="shared" si="2"/>
        <v>0.11316034604893993</v>
      </c>
      <c r="M13" s="299" t="s">
        <v>208</v>
      </c>
      <c r="N13" s="339">
        <v>3</v>
      </c>
      <c r="O13" s="116">
        <v>1709.66</v>
      </c>
      <c r="P13" s="117">
        <v>1663.6</v>
      </c>
      <c r="Q13" s="329">
        <f t="shared" si="3"/>
        <v>2.7686943976917632E-2</v>
      </c>
      <c r="R13" s="303" t="s">
        <v>208</v>
      </c>
      <c r="S13" s="340">
        <v>3</v>
      </c>
      <c r="T13" s="134">
        <v>0.99680000000000002</v>
      </c>
      <c r="U13" s="135">
        <v>0.97989999999999999</v>
      </c>
      <c r="V13" s="332">
        <f t="shared" si="4"/>
        <v>1.7246657822226785E-2</v>
      </c>
      <c r="W13" s="505"/>
      <c r="X13" s="141" t="s">
        <v>65</v>
      </c>
      <c r="Y13" s="291" t="s">
        <v>208</v>
      </c>
      <c r="Z13" s="388">
        <v>3</v>
      </c>
      <c r="AA13" s="104">
        <v>88246.58</v>
      </c>
      <c r="AB13" s="105">
        <v>19311.900000000001</v>
      </c>
      <c r="AC13" s="323">
        <f t="shared" si="1"/>
        <v>3.5695441670679728</v>
      </c>
      <c r="AD13" s="294" t="s">
        <v>208</v>
      </c>
      <c r="AE13" s="390">
        <v>2</v>
      </c>
      <c r="AF13" s="110">
        <v>5083.1400000000003</v>
      </c>
      <c r="AG13" s="111">
        <v>3585.62</v>
      </c>
      <c r="AH13" s="326">
        <f t="shared" si="5"/>
        <v>0.41764604168874575</v>
      </c>
      <c r="AI13" s="643" t="s">
        <v>208</v>
      </c>
      <c r="AJ13" s="644">
        <v>3</v>
      </c>
      <c r="AK13" s="116">
        <v>1847.33</v>
      </c>
      <c r="AL13" s="117">
        <v>1663.6</v>
      </c>
      <c r="AM13" s="329">
        <f t="shared" si="6"/>
        <v>0.11044121182976679</v>
      </c>
      <c r="AN13" s="303" t="s">
        <v>208</v>
      </c>
      <c r="AO13" s="340">
        <v>3</v>
      </c>
      <c r="AP13" s="134">
        <v>1.1408</v>
      </c>
      <c r="AQ13" s="135">
        <v>0.97989999999999999</v>
      </c>
      <c r="AR13" s="332">
        <f t="shared" si="7"/>
        <v>0.16420042861516485</v>
      </c>
    </row>
    <row r="14" spans="1:50" ht="15" customHeight="1" thickBot="1" x14ac:dyDescent="0.4">
      <c r="A14" s="506"/>
      <c r="B14" s="141" t="s">
        <v>66</v>
      </c>
      <c r="C14" s="292" t="s">
        <v>123</v>
      </c>
      <c r="D14" s="250">
        <v>2.7040000000000002E-2</v>
      </c>
      <c r="E14" s="106">
        <v>16608.38</v>
      </c>
      <c r="F14" s="107">
        <v>16618.400000000001</v>
      </c>
      <c r="G14" s="324">
        <f t="shared" si="0"/>
        <v>-6.0294613199829319E-4</v>
      </c>
      <c r="H14" s="295" t="s">
        <v>123</v>
      </c>
      <c r="I14" s="258">
        <v>5.9789999999999999E-3</v>
      </c>
      <c r="J14" s="112">
        <v>4103.1099999999997</v>
      </c>
      <c r="K14" s="113">
        <v>3839.5</v>
      </c>
      <c r="L14" s="327">
        <f t="shared" si="2"/>
        <v>6.8657377262664326E-2</v>
      </c>
      <c r="M14" s="300" t="s">
        <v>123</v>
      </c>
      <c r="N14" s="267">
        <v>4.6680000000000003E-3</v>
      </c>
      <c r="O14" s="118">
        <v>1822.02</v>
      </c>
      <c r="P14" s="119">
        <v>1826</v>
      </c>
      <c r="Q14" s="330">
        <f t="shared" si="3"/>
        <v>-2.1796276013143581E-3</v>
      </c>
      <c r="R14" s="304" t="s">
        <v>123</v>
      </c>
      <c r="S14" s="275">
        <v>2.1059999999999998E-3</v>
      </c>
      <c r="T14" s="136">
        <v>1.052</v>
      </c>
      <c r="U14" s="137">
        <v>1.0702</v>
      </c>
      <c r="V14" s="333">
        <f t="shared" si="4"/>
        <v>-1.7006167071575401E-2</v>
      </c>
      <c r="W14" s="506"/>
      <c r="X14" s="141" t="s">
        <v>66</v>
      </c>
      <c r="Y14" s="292" t="s">
        <v>123</v>
      </c>
      <c r="Z14" s="250">
        <v>2.7040000000000002E-2</v>
      </c>
      <c r="AA14" s="106">
        <v>111580.89</v>
      </c>
      <c r="AB14" s="107">
        <v>16618.400000000001</v>
      </c>
      <c r="AC14" s="324">
        <f t="shared" si="1"/>
        <v>5.7142980070283533</v>
      </c>
      <c r="AD14" s="295" t="s">
        <v>123</v>
      </c>
      <c r="AE14" s="258">
        <v>5.9789999999999999E-3</v>
      </c>
      <c r="AF14" s="112">
        <v>5195.87</v>
      </c>
      <c r="AG14" s="113">
        <v>3839.5</v>
      </c>
      <c r="AH14" s="327">
        <f t="shared" si="5"/>
        <v>0.3532673525198593</v>
      </c>
      <c r="AI14" s="645" t="s">
        <v>123</v>
      </c>
      <c r="AJ14" s="646">
        <v>4.6680000000000003E-3</v>
      </c>
      <c r="AK14" s="118">
        <v>1853.59</v>
      </c>
      <c r="AL14" s="119">
        <v>1826</v>
      </c>
      <c r="AM14" s="330">
        <f t="shared" si="6"/>
        <v>1.5109529025191632E-2</v>
      </c>
      <c r="AN14" s="304" t="s">
        <v>123</v>
      </c>
      <c r="AO14" s="275">
        <v>2.1059999999999998E-3</v>
      </c>
      <c r="AP14" s="136">
        <v>1.141</v>
      </c>
      <c r="AQ14" s="137">
        <v>1.0702</v>
      </c>
      <c r="AR14" s="333">
        <f t="shared" si="7"/>
        <v>6.6155858717996605E-2</v>
      </c>
    </row>
    <row r="15" spans="1:50" ht="14.5" customHeight="1" x14ac:dyDescent="0.35">
      <c r="A15" s="504">
        <v>2023</v>
      </c>
      <c r="B15" s="168" t="s">
        <v>67</v>
      </c>
      <c r="C15" s="289" t="s">
        <v>207</v>
      </c>
      <c r="D15" s="387">
        <v>20</v>
      </c>
      <c r="E15" s="102">
        <v>22816.16</v>
      </c>
      <c r="F15" s="103">
        <v>28456.1</v>
      </c>
      <c r="G15" s="322">
        <f t="shared" si="0"/>
        <v>-0.19819792592800836</v>
      </c>
      <c r="H15" s="296" t="s">
        <v>207</v>
      </c>
      <c r="I15" s="389">
        <v>20</v>
      </c>
      <c r="J15" s="108">
        <v>3969.4</v>
      </c>
      <c r="K15" s="109">
        <v>4109.3100000000004</v>
      </c>
      <c r="L15" s="325">
        <f t="shared" si="2"/>
        <v>-3.4047078463294397E-2</v>
      </c>
      <c r="M15" s="297" t="s">
        <v>207</v>
      </c>
      <c r="N15" s="391">
        <v>20</v>
      </c>
      <c r="O15" s="114">
        <v>1856.16</v>
      </c>
      <c r="P15" s="115">
        <v>1988.5</v>
      </c>
      <c r="Q15" s="328">
        <f t="shared" si="3"/>
        <v>-6.6552677897912957E-2</v>
      </c>
      <c r="R15" s="301" t="s">
        <v>207</v>
      </c>
      <c r="S15" s="392">
        <v>40</v>
      </c>
      <c r="T15" s="132">
        <v>1.0678000000000001</v>
      </c>
      <c r="U15" s="133">
        <v>1.0839000000000001</v>
      </c>
      <c r="V15" s="331">
        <f t="shared" si="4"/>
        <v>-1.4853768797859582E-2</v>
      </c>
      <c r="W15" s="504">
        <v>2023</v>
      </c>
      <c r="X15" s="168" t="s">
        <v>67</v>
      </c>
      <c r="Y15" s="289" t="s">
        <v>207</v>
      </c>
      <c r="Z15" s="387">
        <v>20</v>
      </c>
      <c r="AA15" s="102">
        <v>18805.419999999998</v>
      </c>
      <c r="AB15" s="103">
        <v>28456.1</v>
      </c>
      <c r="AC15" s="322">
        <f t="shared" si="1"/>
        <v>-0.33914274970920122</v>
      </c>
      <c r="AD15" s="296" t="s">
        <v>207</v>
      </c>
      <c r="AE15" s="389">
        <v>20</v>
      </c>
      <c r="AF15" s="108">
        <v>3878.94</v>
      </c>
      <c r="AG15" s="109">
        <v>4109.3100000000004</v>
      </c>
      <c r="AH15" s="325">
        <f t="shared" si="5"/>
        <v>-5.6060506508391998E-2</v>
      </c>
      <c r="AI15" s="639" t="s">
        <v>207</v>
      </c>
      <c r="AJ15" s="640">
        <v>20</v>
      </c>
      <c r="AK15" s="114">
        <v>1831.16</v>
      </c>
      <c r="AL15" s="115">
        <v>1988.5</v>
      </c>
      <c r="AM15" s="328">
        <f t="shared" si="6"/>
        <v>-7.9124968569273285E-2</v>
      </c>
      <c r="AN15" s="301" t="s">
        <v>207</v>
      </c>
      <c r="AO15" s="392">
        <v>40</v>
      </c>
      <c r="AP15" s="132">
        <v>1.0727</v>
      </c>
      <c r="AQ15" s="133">
        <v>1.0839000000000001</v>
      </c>
      <c r="AR15" s="331">
        <f t="shared" si="7"/>
        <v>-1.0333056555032843E-2</v>
      </c>
    </row>
    <row r="16" spans="1:50" ht="14.5" customHeight="1" x14ac:dyDescent="0.35">
      <c r="A16" s="505"/>
      <c r="B16" s="141" t="s">
        <v>68</v>
      </c>
      <c r="C16" s="290" t="s">
        <v>209</v>
      </c>
      <c r="D16" s="321">
        <v>64</v>
      </c>
      <c r="E16" s="104">
        <v>27083.27</v>
      </c>
      <c r="F16" s="105">
        <v>30586.799999999999</v>
      </c>
      <c r="G16" s="323">
        <f t="shared" si="0"/>
        <v>-0.11454385551937434</v>
      </c>
      <c r="H16" s="293" t="s">
        <v>209</v>
      </c>
      <c r="I16" s="334">
        <v>64</v>
      </c>
      <c r="J16" s="110">
        <v>4249.32</v>
      </c>
      <c r="K16" s="111">
        <v>4450.38</v>
      </c>
      <c r="L16" s="326">
        <f t="shared" si="2"/>
        <v>-4.517816456122857E-2</v>
      </c>
      <c r="M16" s="298" t="s">
        <v>209</v>
      </c>
      <c r="N16" s="339">
        <v>32</v>
      </c>
      <c r="O16" s="116">
        <v>2011.28</v>
      </c>
      <c r="P16" s="117">
        <v>1917.9</v>
      </c>
      <c r="Q16" s="329">
        <f t="shared" si="3"/>
        <v>4.8688669899369034E-2</v>
      </c>
      <c r="R16" s="302" t="s">
        <v>209</v>
      </c>
      <c r="S16" s="340">
        <v>32</v>
      </c>
      <c r="T16" s="134">
        <v>1.0791999999999999</v>
      </c>
      <c r="U16" s="135">
        <v>1.091</v>
      </c>
      <c r="V16" s="332">
        <f t="shared" si="4"/>
        <v>-1.081576535288729E-2</v>
      </c>
      <c r="W16" s="505"/>
      <c r="X16" s="141" t="s">
        <v>68</v>
      </c>
      <c r="Y16" s="290" t="s">
        <v>209</v>
      </c>
      <c r="Z16" s="388">
        <v>64</v>
      </c>
      <c r="AA16" s="104">
        <v>21918.84</v>
      </c>
      <c r="AB16" s="105">
        <v>30586.799999999999</v>
      </c>
      <c r="AC16" s="323">
        <f t="shared" si="1"/>
        <v>-0.28338891286437284</v>
      </c>
      <c r="AD16" s="293" t="s">
        <v>209</v>
      </c>
      <c r="AE16" s="390">
        <v>64</v>
      </c>
      <c r="AF16" s="110">
        <v>3926.4</v>
      </c>
      <c r="AG16" s="111">
        <v>4450.38</v>
      </c>
      <c r="AH16" s="326">
        <f t="shared" si="5"/>
        <v>-0.11773826055303142</v>
      </c>
      <c r="AI16" s="641" t="s">
        <v>209</v>
      </c>
      <c r="AJ16" s="644">
        <v>32</v>
      </c>
      <c r="AK16" s="116">
        <v>1832.55</v>
      </c>
      <c r="AL16" s="117">
        <v>1917.9</v>
      </c>
      <c r="AM16" s="329">
        <f t="shared" si="6"/>
        <v>-4.4501798842484036E-2</v>
      </c>
      <c r="AN16" s="302" t="s">
        <v>209</v>
      </c>
      <c r="AO16" s="340">
        <v>32</v>
      </c>
      <c r="AP16" s="134">
        <v>1.0740000000000001</v>
      </c>
      <c r="AQ16" s="135">
        <v>1.091</v>
      </c>
      <c r="AR16" s="332">
        <f t="shared" si="7"/>
        <v>-1.558203483043071E-2</v>
      </c>
    </row>
    <row r="17" spans="1:44" ht="14.5" customHeight="1" x14ac:dyDescent="0.35">
      <c r="A17" s="505"/>
      <c r="B17" s="141" t="s">
        <v>69</v>
      </c>
      <c r="C17" s="291" t="s">
        <v>208</v>
      </c>
      <c r="D17" s="388">
        <v>3</v>
      </c>
      <c r="E17" s="104">
        <v>24820.36</v>
      </c>
      <c r="F17" s="105">
        <v>27974.5</v>
      </c>
      <c r="G17" s="323">
        <f t="shared" si="0"/>
        <v>-0.11275054067096818</v>
      </c>
      <c r="H17" s="294" t="s">
        <v>208</v>
      </c>
      <c r="I17" s="390">
        <v>3</v>
      </c>
      <c r="J17" s="110">
        <v>4517.43</v>
      </c>
      <c r="K17" s="111">
        <v>4288.05</v>
      </c>
      <c r="L17" s="326">
        <f t="shared" si="2"/>
        <v>5.3492846398712726E-2</v>
      </c>
      <c r="M17" s="299" t="s">
        <v>208</v>
      </c>
      <c r="N17" s="339">
        <v>3</v>
      </c>
      <c r="O17" s="116">
        <v>1977.22</v>
      </c>
      <c r="P17" s="117">
        <v>1869.5</v>
      </c>
      <c r="Q17" s="329">
        <f t="shared" si="3"/>
        <v>5.7619684407595628E-2</v>
      </c>
      <c r="R17" s="303" t="s">
        <v>208</v>
      </c>
      <c r="S17" s="340">
        <v>3</v>
      </c>
      <c r="T17" s="134">
        <v>1.0794999999999999</v>
      </c>
      <c r="U17" s="135">
        <v>1.0569999999999999</v>
      </c>
      <c r="V17" s="332">
        <f t="shared" si="4"/>
        <v>2.1286660359508009E-2</v>
      </c>
      <c r="W17" s="505"/>
      <c r="X17" s="141" t="s">
        <v>69</v>
      </c>
      <c r="Y17" s="291" t="s">
        <v>208</v>
      </c>
      <c r="Z17" s="388">
        <v>3</v>
      </c>
      <c r="AA17" s="104">
        <v>25589.53</v>
      </c>
      <c r="AB17" s="105">
        <v>27974.5</v>
      </c>
      <c r="AC17" s="323">
        <f t="shared" si="1"/>
        <v>-8.5255143076730641E-2</v>
      </c>
      <c r="AD17" s="294" t="s">
        <v>208</v>
      </c>
      <c r="AE17" s="390">
        <v>3</v>
      </c>
      <c r="AF17" s="110">
        <v>3974.9</v>
      </c>
      <c r="AG17" s="111">
        <v>4288.05</v>
      </c>
      <c r="AH17" s="326">
        <f t="shared" si="5"/>
        <v>-7.3028532782966629E-2</v>
      </c>
      <c r="AI17" s="643" t="s">
        <v>208</v>
      </c>
      <c r="AJ17" s="644">
        <v>3</v>
      </c>
      <c r="AK17" s="116">
        <v>1833.05</v>
      </c>
      <c r="AL17" s="117">
        <v>1869.5</v>
      </c>
      <c r="AM17" s="329">
        <f t="shared" si="6"/>
        <v>-1.9497191762503367E-2</v>
      </c>
      <c r="AN17" s="303" t="s">
        <v>208</v>
      </c>
      <c r="AO17" s="340">
        <v>3</v>
      </c>
      <c r="AP17" s="134">
        <v>1.0750999999999999</v>
      </c>
      <c r="AQ17" s="135">
        <v>1.0569999999999999</v>
      </c>
      <c r="AR17" s="332">
        <f t="shared" si="7"/>
        <v>1.7123935666982032E-2</v>
      </c>
    </row>
    <row r="18" spans="1:44" ht="15" customHeight="1" thickBot="1" x14ac:dyDescent="0.4">
      <c r="A18" s="506"/>
      <c r="B18" s="141" t="s">
        <v>70</v>
      </c>
      <c r="C18" s="292" t="s">
        <v>123</v>
      </c>
      <c r="D18" s="250">
        <v>2.6072999999999999E-2</v>
      </c>
      <c r="E18" s="106">
        <v>40067.47</v>
      </c>
      <c r="F18" s="107">
        <v>44183.4</v>
      </c>
      <c r="G18" s="324">
        <f t="shared" si="0"/>
        <v>-9.3155574265448113E-2</v>
      </c>
      <c r="H18" s="295" t="s">
        <v>123</v>
      </c>
      <c r="I18" s="258">
        <v>6.9230000000000003E-3</v>
      </c>
      <c r="J18" s="112">
        <v>4570.4399999999996</v>
      </c>
      <c r="K18" s="113">
        <v>4769.83</v>
      </c>
      <c r="L18" s="327">
        <f t="shared" si="2"/>
        <v>-4.1802328384869129E-2</v>
      </c>
      <c r="M18" s="300" t="s">
        <v>123</v>
      </c>
      <c r="N18" s="267">
        <v>5.0559999999999997E-3</v>
      </c>
      <c r="O18" s="118">
        <v>2068.04</v>
      </c>
      <c r="P18" s="119">
        <v>2083.5</v>
      </c>
      <c r="Q18" s="330">
        <f t="shared" si="3"/>
        <v>-7.4202063834893387E-3</v>
      </c>
      <c r="R18" s="304" t="s">
        <v>123</v>
      </c>
      <c r="S18" s="275">
        <v>2.529E-3</v>
      </c>
      <c r="T18" s="136">
        <v>1.0871999999999999</v>
      </c>
      <c r="U18" s="137">
        <v>1.1044</v>
      </c>
      <c r="V18" s="333">
        <f t="shared" si="4"/>
        <v>-1.5574067366896146E-2</v>
      </c>
      <c r="W18" s="506"/>
      <c r="X18" s="141" t="s">
        <v>70</v>
      </c>
      <c r="Y18" s="292" t="s">
        <v>123</v>
      </c>
      <c r="Z18" s="250">
        <v>2.6072999999999999E-2</v>
      </c>
      <c r="AA18" s="106">
        <v>29915.67</v>
      </c>
      <c r="AB18" s="107">
        <v>44183.4</v>
      </c>
      <c r="AC18" s="324">
        <f t="shared" si="1"/>
        <v>-0.32292059913904325</v>
      </c>
      <c r="AD18" s="295" t="s">
        <v>123</v>
      </c>
      <c r="AE18" s="258">
        <v>6.9230000000000003E-3</v>
      </c>
      <c r="AF18" s="112">
        <v>4024.13</v>
      </c>
      <c r="AG18" s="113">
        <v>4769.83</v>
      </c>
      <c r="AH18" s="327">
        <f t="shared" si="5"/>
        <v>-0.15633680864936483</v>
      </c>
      <c r="AI18" s="645" t="s">
        <v>123</v>
      </c>
      <c r="AJ18" s="646">
        <v>5.0559999999999997E-3</v>
      </c>
      <c r="AK18" s="118">
        <v>1833.61</v>
      </c>
      <c r="AL18" s="119">
        <v>2083.5</v>
      </c>
      <c r="AM18" s="330">
        <f t="shared" si="6"/>
        <v>-0.11993760499160072</v>
      </c>
      <c r="AN18" s="304" t="s">
        <v>123</v>
      </c>
      <c r="AO18" s="275">
        <v>2.529E-3</v>
      </c>
      <c r="AP18" s="136">
        <v>1.0759000000000001</v>
      </c>
      <c r="AQ18" s="137">
        <v>1.1044</v>
      </c>
      <c r="AR18" s="333">
        <f t="shared" si="7"/>
        <v>-2.5805867439333545E-2</v>
      </c>
    </row>
    <row r="19" spans="1:44" ht="14.5" customHeight="1" x14ac:dyDescent="0.35">
      <c r="A19" s="504">
        <v>2024</v>
      </c>
      <c r="B19" s="168" t="s">
        <v>71</v>
      </c>
      <c r="C19" s="289" t="s">
        <v>207</v>
      </c>
      <c r="D19" s="387">
        <v>20</v>
      </c>
      <c r="E19" s="102">
        <v>73032.34</v>
      </c>
      <c r="F19" s="103">
        <v>69664.399999999994</v>
      </c>
      <c r="G19" s="322">
        <f t="shared" si="0"/>
        <v>4.8345209317815163E-2</v>
      </c>
      <c r="H19" s="296" t="s">
        <v>207</v>
      </c>
      <c r="I19" s="389">
        <v>40</v>
      </c>
      <c r="J19" s="108">
        <v>5147.17</v>
      </c>
      <c r="K19" s="109">
        <v>5243.77</v>
      </c>
      <c r="L19" s="325">
        <f t="shared" si="2"/>
        <v>-1.8421860607921468E-2</v>
      </c>
      <c r="M19" s="297" t="s">
        <v>207</v>
      </c>
      <c r="N19" s="391">
        <v>40</v>
      </c>
      <c r="O19" s="114">
        <v>2068.91</v>
      </c>
      <c r="P19" s="115">
        <v>2245.9</v>
      </c>
      <c r="Q19" s="328">
        <f t="shared" si="3"/>
        <v>-7.8805823945857001E-2</v>
      </c>
      <c r="R19" s="301" t="s">
        <v>207</v>
      </c>
      <c r="S19" s="392">
        <v>40</v>
      </c>
      <c r="T19" s="132">
        <v>1.0875999999999999</v>
      </c>
      <c r="U19" s="133">
        <v>1.0743</v>
      </c>
      <c r="V19" s="331">
        <f t="shared" si="4"/>
        <v>1.2380154519221694E-2</v>
      </c>
      <c r="W19" s="504">
        <v>2024</v>
      </c>
      <c r="X19" s="168" t="s">
        <v>71</v>
      </c>
      <c r="Y19" s="289" t="s">
        <v>207</v>
      </c>
      <c r="Z19" s="387">
        <v>20</v>
      </c>
      <c r="AA19" s="102">
        <v>48026.78</v>
      </c>
      <c r="AB19" s="103">
        <v>69664.399999999994</v>
      </c>
      <c r="AC19" s="322">
        <f t="shared" si="1"/>
        <v>-0.31059795246926691</v>
      </c>
      <c r="AD19" s="296" t="s">
        <v>207</v>
      </c>
      <c r="AE19" s="389">
        <v>40</v>
      </c>
      <c r="AF19" s="108">
        <v>4803.92</v>
      </c>
      <c r="AG19" s="109">
        <v>5243.77</v>
      </c>
      <c r="AH19" s="325">
        <f t="shared" si="5"/>
        <v>-8.3880490563087301E-2</v>
      </c>
      <c r="AI19" s="639" t="s">
        <v>207</v>
      </c>
      <c r="AJ19" s="640">
        <v>40</v>
      </c>
      <c r="AK19" s="114">
        <v>2145.13</v>
      </c>
      <c r="AL19" s="115">
        <v>2245.9</v>
      </c>
      <c r="AM19" s="328">
        <f t="shared" si="6"/>
        <v>-4.4868426911260507E-2</v>
      </c>
      <c r="AN19" s="301" t="s">
        <v>207</v>
      </c>
      <c r="AO19" s="392">
        <v>40</v>
      </c>
      <c r="AP19" s="132">
        <v>1.1092</v>
      </c>
      <c r="AQ19" s="133">
        <v>1.0743</v>
      </c>
      <c r="AR19" s="331">
        <f t="shared" si="7"/>
        <v>3.2486270129386513E-2</v>
      </c>
    </row>
    <row r="20" spans="1:44" ht="14.5" customHeight="1" x14ac:dyDescent="0.35">
      <c r="A20" s="505"/>
      <c r="B20" s="141" t="s">
        <v>72</v>
      </c>
      <c r="C20" s="290" t="s">
        <v>209</v>
      </c>
      <c r="D20" s="321">
        <v>64</v>
      </c>
      <c r="E20" s="104">
        <v>64555.21</v>
      </c>
      <c r="F20" s="105">
        <v>62890.1</v>
      </c>
      <c r="G20" s="323">
        <f t="shared" si="0"/>
        <v>2.6476504251066554E-2</v>
      </c>
      <c r="H20" s="293" t="s">
        <v>209</v>
      </c>
      <c r="I20" s="334">
        <v>64</v>
      </c>
      <c r="J20" s="110">
        <v>5311.03</v>
      </c>
      <c r="K20" s="111">
        <v>5475.09</v>
      </c>
      <c r="L20" s="326">
        <f t="shared" si="2"/>
        <v>-2.9964804231528686E-2</v>
      </c>
      <c r="M20" s="298" t="s">
        <v>209</v>
      </c>
      <c r="N20" s="339">
        <v>32</v>
      </c>
      <c r="O20" s="116">
        <v>2388.59</v>
      </c>
      <c r="P20" s="117">
        <v>2338.9</v>
      </c>
      <c r="Q20" s="329">
        <f t="shared" si="3"/>
        <v>2.124502971482323E-2</v>
      </c>
      <c r="R20" s="302" t="s">
        <v>209</v>
      </c>
      <c r="S20" s="340">
        <v>32</v>
      </c>
      <c r="T20" s="134">
        <v>1.089</v>
      </c>
      <c r="U20" s="135">
        <v>1.0738000000000001</v>
      </c>
      <c r="V20" s="332">
        <f t="shared" si="4"/>
        <v>1.4155336189234381E-2</v>
      </c>
      <c r="W20" s="505"/>
      <c r="X20" s="141" t="s">
        <v>72</v>
      </c>
      <c r="Y20" s="290" t="s">
        <v>209</v>
      </c>
      <c r="Z20" s="388">
        <v>64</v>
      </c>
      <c r="AA20" s="104">
        <v>55374.15</v>
      </c>
      <c r="AB20" s="105">
        <v>62890.1</v>
      </c>
      <c r="AC20" s="323">
        <f t="shared" si="1"/>
        <v>-0.11950927093453496</v>
      </c>
      <c r="AD20" s="293" t="s">
        <v>209</v>
      </c>
      <c r="AE20" s="390">
        <v>64</v>
      </c>
      <c r="AF20" s="110">
        <v>4845.5200000000004</v>
      </c>
      <c r="AG20" s="111">
        <v>5475.09</v>
      </c>
      <c r="AH20" s="326">
        <f t="shared" si="5"/>
        <v>-0.11498806412314677</v>
      </c>
      <c r="AI20" s="641" t="s">
        <v>209</v>
      </c>
      <c r="AJ20" s="644">
        <v>32</v>
      </c>
      <c r="AK20" s="116">
        <v>2203.14</v>
      </c>
      <c r="AL20" s="117">
        <v>2338.9</v>
      </c>
      <c r="AM20" s="329">
        <f t="shared" si="6"/>
        <v>-5.8044379836675451E-2</v>
      </c>
      <c r="AN20" s="302" t="s">
        <v>209</v>
      </c>
      <c r="AO20" s="340">
        <v>32</v>
      </c>
      <c r="AP20" s="134">
        <v>1.1141000000000001</v>
      </c>
      <c r="AQ20" s="135">
        <v>1.0738000000000001</v>
      </c>
      <c r="AR20" s="332">
        <f t="shared" si="7"/>
        <v>3.7530266343825662E-2</v>
      </c>
    </row>
    <row r="21" spans="1:44" ht="14.5" customHeight="1" x14ac:dyDescent="0.35">
      <c r="A21" s="505"/>
      <c r="B21" s="141" t="s">
        <v>73</v>
      </c>
      <c r="C21" s="291" t="s">
        <v>208</v>
      </c>
      <c r="D21" s="388">
        <v>2</v>
      </c>
      <c r="E21" s="104">
        <v>54214.57</v>
      </c>
      <c r="F21" s="105">
        <v>60835.5</v>
      </c>
      <c r="G21" s="323">
        <f t="shared" si="0"/>
        <v>-0.10883332922389066</v>
      </c>
      <c r="H21" s="294" t="s">
        <v>208</v>
      </c>
      <c r="I21" s="390">
        <v>2</v>
      </c>
      <c r="J21" s="110">
        <v>5631.48</v>
      </c>
      <c r="K21" s="111">
        <v>5708.75</v>
      </c>
      <c r="L21" s="326">
        <f t="shared" si="2"/>
        <v>-1.3535362382307937E-2</v>
      </c>
      <c r="M21" s="299" t="s">
        <v>208</v>
      </c>
      <c r="N21" s="339">
        <v>2</v>
      </c>
      <c r="O21" s="116">
        <v>2582.25</v>
      </c>
      <c r="P21" s="117">
        <v>2678.5</v>
      </c>
      <c r="Q21" s="329">
        <f t="shared" si="3"/>
        <v>-3.5934291581108828E-2</v>
      </c>
      <c r="R21" s="303" t="s">
        <v>208</v>
      </c>
      <c r="S21" s="340">
        <v>3</v>
      </c>
      <c r="T21" s="134">
        <v>1.1056999999999999</v>
      </c>
      <c r="U21" s="135">
        <v>1.1067</v>
      </c>
      <c r="V21" s="332">
        <f t="shared" si="4"/>
        <v>-9.0358724134825331E-4</v>
      </c>
      <c r="W21" s="505"/>
      <c r="X21" s="141" t="s">
        <v>73</v>
      </c>
      <c r="Y21" s="291" t="s">
        <v>208</v>
      </c>
      <c r="Z21" s="388">
        <v>2</v>
      </c>
      <c r="AA21" s="104">
        <v>63985.16</v>
      </c>
      <c r="AB21" s="105">
        <v>60835.5</v>
      </c>
      <c r="AC21" s="323">
        <f t="shared" si="1"/>
        <v>5.1773388892998387E-2</v>
      </c>
      <c r="AD21" s="294" t="s">
        <v>208</v>
      </c>
      <c r="AE21" s="390">
        <v>2</v>
      </c>
      <c r="AF21" s="110">
        <v>4888.37</v>
      </c>
      <c r="AG21" s="111">
        <v>5708.75</v>
      </c>
      <c r="AH21" s="326">
        <f t="shared" si="5"/>
        <v>-0.14370571491132036</v>
      </c>
      <c r="AI21" s="643" t="s">
        <v>208</v>
      </c>
      <c r="AJ21" s="644">
        <v>2</v>
      </c>
      <c r="AK21" s="116">
        <v>2262.5700000000002</v>
      </c>
      <c r="AL21" s="117">
        <v>2678.5</v>
      </c>
      <c r="AM21" s="329">
        <f t="shared" si="6"/>
        <v>-0.15528467425798015</v>
      </c>
      <c r="AN21" s="303" t="s">
        <v>208</v>
      </c>
      <c r="AO21" s="340">
        <v>3</v>
      </c>
      <c r="AP21" s="134">
        <v>1.1191</v>
      </c>
      <c r="AQ21" s="135">
        <v>1.1067</v>
      </c>
      <c r="AR21" s="332">
        <f t="shared" si="7"/>
        <v>1.1204481792717056E-2</v>
      </c>
    </row>
    <row r="22" spans="1:44" ht="15" customHeight="1" thickBot="1" x14ac:dyDescent="0.4">
      <c r="A22" s="506"/>
      <c r="B22" s="169" t="s">
        <v>74</v>
      </c>
      <c r="C22" s="292" t="s">
        <v>123</v>
      </c>
      <c r="D22" s="250">
        <v>1.9203999999999999E-2</v>
      </c>
      <c r="E22" s="106">
        <v>100955.73</v>
      </c>
      <c r="F22" s="107">
        <v>94560.2</v>
      </c>
      <c r="G22" s="324">
        <f t="shared" si="0"/>
        <v>6.7634480468526922E-2</v>
      </c>
      <c r="H22" s="295" t="s">
        <v>123</v>
      </c>
      <c r="I22" s="258">
        <v>5.7869999999999996E-3</v>
      </c>
      <c r="J22" s="112">
        <v>6013.41</v>
      </c>
      <c r="K22" s="113">
        <v>5881.63</v>
      </c>
      <c r="L22" s="327">
        <f t="shared" si="2"/>
        <v>2.2405353617959603E-2</v>
      </c>
      <c r="M22" s="300" t="s">
        <v>123</v>
      </c>
      <c r="N22" s="267">
        <v>4.5970000000000004E-3</v>
      </c>
      <c r="O22" s="118">
        <v>2686.89</v>
      </c>
      <c r="P22" s="119">
        <v>2618.1</v>
      </c>
      <c r="Q22" s="330">
        <f t="shared" si="3"/>
        <v>2.62747794201902E-2</v>
      </c>
      <c r="R22" s="304" t="s">
        <v>123</v>
      </c>
      <c r="S22" s="275">
        <v>2.614E-3</v>
      </c>
      <c r="T22" s="136">
        <v>1.0567</v>
      </c>
      <c r="U22" s="137">
        <v>1.0355000000000001</v>
      </c>
      <c r="V22" s="333">
        <f t="shared" si="4"/>
        <v>2.0473201352003749E-2</v>
      </c>
      <c r="W22" s="506"/>
      <c r="X22" s="169" t="s">
        <v>74</v>
      </c>
      <c r="Y22" s="292" t="s">
        <v>123</v>
      </c>
      <c r="Z22" s="250">
        <v>1.9203999999999999E-2</v>
      </c>
      <c r="AA22" s="106">
        <v>73880.94</v>
      </c>
      <c r="AB22" s="107">
        <v>94560.2</v>
      </c>
      <c r="AC22" s="324">
        <f t="shared" si="1"/>
        <v>-0.21868883526050067</v>
      </c>
      <c r="AD22" s="295" t="s">
        <v>123</v>
      </c>
      <c r="AE22" s="258">
        <v>5.7869999999999996E-3</v>
      </c>
      <c r="AF22" s="112">
        <v>4931.76</v>
      </c>
      <c r="AG22" s="113">
        <v>5881.63</v>
      </c>
      <c r="AH22" s="327">
        <f t="shared" si="5"/>
        <v>-0.16149774807323819</v>
      </c>
      <c r="AI22" s="645" t="s">
        <v>123</v>
      </c>
      <c r="AJ22" s="646">
        <v>4.5970000000000004E-3</v>
      </c>
      <c r="AK22" s="118">
        <v>2320.46</v>
      </c>
      <c r="AL22" s="119">
        <v>2618.1</v>
      </c>
      <c r="AM22" s="330">
        <f t="shared" si="6"/>
        <v>-0.11368549711622929</v>
      </c>
      <c r="AN22" s="304" t="s">
        <v>123</v>
      </c>
      <c r="AO22" s="275">
        <v>2.614E-3</v>
      </c>
      <c r="AP22" s="136">
        <v>1.1240000000000001</v>
      </c>
      <c r="AQ22" s="137">
        <v>1.0355000000000001</v>
      </c>
      <c r="AR22" s="333">
        <f t="shared" si="7"/>
        <v>8.5465958474167089E-2</v>
      </c>
    </row>
    <row r="23" spans="1:44" ht="14.5" customHeight="1" x14ac:dyDescent="0.35">
      <c r="A23" s="504">
        <v>2025</v>
      </c>
      <c r="B23" s="168" t="s">
        <v>75</v>
      </c>
      <c r="C23" s="289" t="s">
        <v>207</v>
      </c>
      <c r="D23" s="387">
        <v>40</v>
      </c>
      <c r="E23" s="102">
        <v>90712.95</v>
      </c>
      <c r="F23" s="103">
        <v>85164.2</v>
      </c>
      <c r="G23" s="322">
        <f t="shared" si="0"/>
        <v>6.5153550435511631E-2</v>
      </c>
      <c r="H23" s="296" t="s">
        <v>207</v>
      </c>
      <c r="I23" s="389">
        <v>40</v>
      </c>
      <c r="J23" s="108">
        <v>6034.41</v>
      </c>
      <c r="K23" s="109">
        <v>5633.07</v>
      </c>
      <c r="L23" s="325">
        <f t="shared" si="2"/>
        <v>7.1247117468804785E-2</v>
      </c>
      <c r="M23" s="297" t="s">
        <v>207</v>
      </c>
      <c r="N23" s="391">
        <v>20</v>
      </c>
      <c r="O23" s="114">
        <v>2925.67</v>
      </c>
      <c r="P23" s="115">
        <v>3146</v>
      </c>
      <c r="Q23" s="328">
        <f t="shared" si="3"/>
        <v>-7.0034965034965008E-2</v>
      </c>
      <c r="R23" s="301" t="s">
        <v>207</v>
      </c>
      <c r="S23" s="392">
        <v>40</v>
      </c>
      <c r="T23" s="132">
        <v>1.0401</v>
      </c>
      <c r="U23" s="133">
        <v>1.0792999999999999</v>
      </c>
      <c r="V23" s="331">
        <f t="shared" si="4"/>
        <v>-3.6319836931344301E-2</v>
      </c>
      <c r="W23" s="504">
        <v>2025</v>
      </c>
      <c r="X23" s="168" t="s">
        <v>75</v>
      </c>
      <c r="Y23" s="289" t="s">
        <v>207</v>
      </c>
      <c r="Z23" s="387">
        <v>40</v>
      </c>
      <c r="AA23" s="102">
        <v>99931.71</v>
      </c>
      <c r="AB23" s="103">
        <v>85164.2</v>
      </c>
      <c r="AC23" s="322">
        <f t="shared" si="1"/>
        <v>0.1734004429091098</v>
      </c>
      <c r="AD23" s="296" t="s">
        <v>207</v>
      </c>
      <c r="AE23" s="389">
        <v>40</v>
      </c>
      <c r="AF23" s="108">
        <v>5902.37</v>
      </c>
      <c r="AG23" s="109">
        <v>5633.07</v>
      </c>
      <c r="AH23" s="325">
        <f t="shared" si="5"/>
        <v>4.7806968491426557E-2</v>
      </c>
      <c r="AI23" s="639" t="s">
        <v>207</v>
      </c>
      <c r="AJ23" s="640">
        <v>20</v>
      </c>
      <c r="AK23" s="114">
        <v>2665.97</v>
      </c>
      <c r="AL23" s="115">
        <v>3146</v>
      </c>
      <c r="AM23" s="328">
        <f t="shared" si="6"/>
        <v>-0.15258423394787038</v>
      </c>
      <c r="AN23" s="301" t="s">
        <v>207</v>
      </c>
      <c r="AO23" s="392">
        <v>40</v>
      </c>
      <c r="AP23" s="132">
        <v>1.0392999999999999</v>
      </c>
      <c r="AQ23" s="133">
        <v>1.0792999999999999</v>
      </c>
      <c r="AR23" s="331">
        <f t="shared" si="7"/>
        <v>-3.7061058093208595E-2</v>
      </c>
    </row>
    <row r="24" spans="1:44" ht="14.5" customHeight="1" x14ac:dyDescent="0.35">
      <c r="A24" s="505"/>
      <c r="B24" s="141" t="s">
        <v>76</v>
      </c>
      <c r="C24" s="290" t="s">
        <v>209</v>
      </c>
      <c r="D24" s="321">
        <v>32</v>
      </c>
      <c r="E24" s="104">
        <v>108387.57</v>
      </c>
      <c r="F24" s="105">
        <v>105694.3</v>
      </c>
      <c r="G24" s="323">
        <f t="shared" si="0"/>
        <v>2.5481695796272873E-2</v>
      </c>
      <c r="H24" s="293" t="s">
        <v>209</v>
      </c>
      <c r="I24" s="334">
        <v>64</v>
      </c>
      <c r="J24" s="110">
        <v>5920.99</v>
      </c>
      <c r="K24" s="111">
        <v>6198.01</v>
      </c>
      <c r="L24" s="326">
        <f t="shared" si="2"/>
        <v>-4.4694990811567005E-2</v>
      </c>
      <c r="M24" s="298" t="s">
        <v>209</v>
      </c>
      <c r="N24" s="339">
        <v>64</v>
      </c>
      <c r="O24" s="116">
        <v>3354.89</v>
      </c>
      <c r="P24" s="117">
        <v>3349.8</v>
      </c>
      <c r="Q24" s="329">
        <f t="shared" si="3"/>
        <v>1.5194937011163922E-3</v>
      </c>
      <c r="R24" s="302" t="s">
        <v>209</v>
      </c>
      <c r="S24" s="340">
        <v>32</v>
      </c>
      <c r="T24" s="134">
        <v>1.1386000000000001</v>
      </c>
      <c r="U24" s="135">
        <v>1.1807000000000001</v>
      </c>
      <c r="V24" s="332">
        <f t="shared" si="4"/>
        <v>-3.5656813754552402E-2</v>
      </c>
      <c r="W24" s="505"/>
      <c r="X24" s="141" t="s">
        <v>76</v>
      </c>
      <c r="Y24" s="290" t="s">
        <v>209</v>
      </c>
      <c r="Z24" s="388">
        <v>32</v>
      </c>
      <c r="AA24" s="104">
        <v>107777.09</v>
      </c>
      <c r="AB24" s="105">
        <v>105694.3</v>
      </c>
      <c r="AC24" s="323">
        <f t="shared" si="1"/>
        <v>1.9705793027627729E-2</v>
      </c>
      <c r="AD24" s="293" t="s">
        <v>209</v>
      </c>
      <c r="AE24" s="390">
        <v>64</v>
      </c>
      <c r="AF24" s="110">
        <v>5925.52</v>
      </c>
      <c r="AG24" s="111">
        <v>6198.01</v>
      </c>
      <c r="AH24" s="326">
        <f t="shared" si="5"/>
        <v>-4.3964111061453558E-2</v>
      </c>
      <c r="AI24" s="641" t="s">
        <v>209</v>
      </c>
      <c r="AJ24" s="644">
        <v>64</v>
      </c>
      <c r="AK24" s="116">
        <v>2705.16</v>
      </c>
      <c r="AL24" s="117">
        <v>3349.8</v>
      </c>
      <c r="AM24" s="329">
        <f t="shared" si="6"/>
        <v>-0.19244133978147959</v>
      </c>
      <c r="AN24" s="302" t="s">
        <v>209</v>
      </c>
      <c r="AO24" s="340">
        <v>32</v>
      </c>
      <c r="AP24" s="134">
        <v>1.0416000000000001</v>
      </c>
      <c r="AQ24" s="135">
        <v>1.1807000000000001</v>
      </c>
      <c r="AR24" s="332">
        <f t="shared" si="7"/>
        <v>-0.11781146777335479</v>
      </c>
    </row>
    <row r="25" spans="1:44" ht="14.5" customHeight="1" x14ac:dyDescent="0.35">
      <c r="A25" s="505"/>
      <c r="B25" s="141" t="s">
        <v>77</v>
      </c>
      <c r="C25" s="291" t="s">
        <v>208</v>
      </c>
      <c r="D25" s="388">
        <v>2</v>
      </c>
      <c r="E25" s="104">
        <v>107556.17</v>
      </c>
      <c r="F25" s="105">
        <v>118576.2</v>
      </c>
      <c r="G25" s="323">
        <f t="shared" si="0"/>
        <v>-9.2936272203022183E-2</v>
      </c>
      <c r="H25" s="294" t="s">
        <v>208</v>
      </c>
      <c r="I25" s="390">
        <v>3</v>
      </c>
      <c r="J25" s="110">
        <v>6477.3</v>
      </c>
      <c r="K25" s="111">
        <v>6711.2</v>
      </c>
      <c r="L25" s="326">
        <f t="shared" si="2"/>
        <v>-3.4852187388246463E-2</v>
      </c>
      <c r="M25" s="299" t="s">
        <v>208</v>
      </c>
      <c r="N25" s="339">
        <v>3</v>
      </c>
      <c r="O25" s="116">
        <v>3587.85</v>
      </c>
      <c r="P25" s="117">
        <v>3897.5</v>
      </c>
      <c r="Q25" s="329">
        <f t="shared" si="3"/>
        <v>-7.9448364336112923E-2</v>
      </c>
      <c r="R25" s="303" t="s">
        <v>208</v>
      </c>
      <c r="S25" s="340">
        <v>3</v>
      </c>
      <c r="T25" s="134">
        <v>1.1744000000000001</v>
      </c>
      <c r="U25" s="135">
        <v>1.173</v>
      </c>
      <c r="V25" s="332">
        <f t="shared" si="4"/>
        <v>1.1935208866155735E-3</v>
      </c>
      <c r="W25" s="505"/>
      <c r="X25" s="141" t="s">
        <v>77</v>
      </c>
      <c r="Y25" s="291" t="s">
        <v>208</v>
      </c>
      <c r="Z25" s="388">
        <v>2</v>
      </c>
      <c r="AA25" s="104">
        <v>116345.39</v>
      </c>
      <c r="AB25" s="105">
        <v>118576.2</v>
      </c>
      <c r="AC25" s="323">
        <f t="shared" si="1"/>
        <v>-1.8813303175510748E-2</v>
      </c>
      <c r="AD25" s="294" t="s">
        <v>208</v>
      </c>
      <c r="AE25" s="390">
        <v>3</v>
      </c>
      <c r="AF25" s="110">
        <v>5949.17</v>
      </c>
      <c r="AG25" s="111">
        <v>6711.2</v>
      </c>
      <c r="AH25" s="326">
        <f t="shared" si="5"/>
        <v>-0.11354601263559419</v>
      </c>
      <c r="AI25" s="643" t="s">
        <v>208</v>
      </c>
      <c r="AJ25" s="644">
        <v>3</v>
      </c>
      <c r="AK25" s="116">
        <v>2740.7</v>
      </c>
      <c r="AL25" s="117">
        <v>3897.5</v>
      </c>
      <c r="AM25" s="329">
        <f t="shared" si="6"/>
        <v>-0.29680564464400261</v>
      </c>
      <c r="AN25" s="303" t="s">
        <v>208</v>
      </c>
      <c r="AO25" s="340">
        <v>3</v>
      </c>
      <c r="AP25" s="134">
        <v>1.0439000000000001</v>
      </c>
      <c r="AQ25" s="135">
        <v>1.173</v>
      </c>
      <c r="AR25" s="332">
        <f t="shared" si="7"/>
        <v>-0.11005967604433077</v>
      </c>
    </row>
    <row r="26" spans="1:44" ht="15" customHeight="1" thickBot="1" x14ac:dyDescent="0.4">
      <c r="A26" s="506"/>
      <c r="B26" s="141" t="s">
        <v>78</v>
      </c>
      <c r="C26" s="292" t="s">
        <v>123</v>
      </c>
      <c r="D26" s="250">
        <v>1.7520999999999998E-2</v>
      </c>
      <c r="E26" s="106">
        <v>86423.14</v>
      </c>
      <c r="F26" s="107">
        <v>88812.1</v>
      </c>
      <c r="G26" s="324">
        <f t="shared" si="0"/>
        <v>-2.6899037405939127E-2</v>
      </c>
      <c r="H26" s="295" t="s">
        <v>123</v>
      </c>
      <c r="I26" s="258">
        <v>5.3239999999999997E-3</v>
      </c>
      <c r="J26" s="112">
        <v>6848.16</v>
      </c>
      <c r="K26" s="113">
        <v>6845.5</v>
      </c>
      <c r="L26" s="327">
        <f t="shared" si="2"/>
        <v>3.8857643707542979E-4</v>
      </c>
      <c r="M26" s="300" t="s">
        <v>123</v>
      </c>
      <c r="N26" s="267">
        <v>4.3010000000000001E-3</v>
      </c>
      <c r="O26" s="118">
        <v>4327.95</v>
      </c>
      <c r="P26" s="119">
        <v>4361.55</v>
      </c>
      <c r="Q26" s="330">
        <f t="shared" si="3"/>
        <v>-7.7036833235891739E-3</v>
      </c>
      <c r="R26" s="304" t="s">
        <v>123</v>
      </c>
      <c r="S26" s="275">
        <v>2.5300000000000001E-3</v>
      </c>
      <c r="T26" s="136">
        <v>1.1651</v>
      </c>
      <c r="U26" s="137">
        <v>1.1746000000000001</v>
      </c>
      <c r="V26" s="333">
        <f t="shared" si="4"/>
        <v>-8.0878596969181545E-3</v>
      </c>
      <c r="W26" s="506"/>
      <c r="X26" s="141" t="s">
        <v>78</v>
      </c>
      <c r="Y26" s="292" t="s">
        <v>123</v>
      </c>
      <c r="Z26" s="250">
        <v>1.7520999999999998E-2</v>
      </c>
      <c r="AA26" s="106">
        <v>125531.55</v>
      </c>
      <c r="AB26" s="107">
        <v>88812.1</v>
      </c>
      <c r="AC26" s="324">
        <f t="shared" si="1"/>
        <v>0.41345098246747902</v>
      </c>
      <c r="AD26" s="295" t="s">
        <v>123</v>
      </c>
      <c r="AE26" s="258">
        <v>5.3239999999999997E-3</v>
      </c>
      <c r="AF26" s="112">
        <v>5972.82</v>
      </c>
      <c r="AG26" s="113">
        <v>6845.5</v>
      </c>
      <c r="AH26" s="327">
        <f t="shared" si="5"/>
        <v>-0.12748228763421229</v>
      </c>
      <c r="AI26" s="645" t="s">
        <v>123</v>
      </c>
      <c r="AJ26" s="646">
        <v>4.3010000000000001E-3</v>
      </c>
      <c r="AK26" s="118">
        <v>2781.76</v>
      </c>
      <c r="AL26" s="119">
        <v>4361.55</v>
      </c>
      <c r="AM26" s="330">
        <f t="shared" si="6"/>
        <v>-0.36220838921942883</v>
      </c>
      <c r="AN26" s="304" t="s">
        <v>123</v>
      </c>
      <c r="AO26" s="275">
        <v>2.5300000000000001E-3</v>
      </c>
      <c r="AP26" s="136">
        <v>1.0462</v>
      </c>
      <c r="AQ26" s="137">
        <v>1.1746000000000001</v>
      </c>
      <c r="AR26" s="333">
        <f t="shared" si="7"/>
        <v>-0.10931380895624047</v>
      </c>
    </row>
    <row r="27" spans="1:44" ht="14.5" customHeight="1" x14ac:dyDescent="0.35">
      <c r="A27" s="504">
        <v>2026</v>
      </c>
      <c r="B27" s="168" t="s">
        <v>79</v>
      </c>
      <c r="C27" s="289" t="s">
        <v>207</v>
      </c>
      <c r="D27" s="387"/>
      <c r="E27" s="102"/>
      <c r="F27" s="103"/>
      <c r="G27" s="322" t="e">
        <f t="shared" si="0"/>
        <v>#DIV/0!</v>
      </c>
      <c r="H27" s="296" t="s">
        <v>207</v>
      </c>
      <c r="I27" s="389"/>
      <c r="J27" s="108"/>
      <c r="K27" s="109"/>
      <c r="L27" s="325" t="e">
        <f t="shared" si="2"/>
        <v>#DIV/0!</v>
      </c>
      <c r="M27" s="297" t="s">
        <v>207</v>
      </c>
      <c r="N27" s="391"/>
      <c r="O27" s="114"/>
      <c r="P27" s="115"/>
      <c r="Q27" s="328" t="e">
        <f t="shared" si="3"/>
        <v>#DIV/0!</v>
      </c>
      <c r="R27" s="301" t="s">
        <v>207</v>
      </c>
      <c r="S27" s="392"/>
      <c r="T27" s="132"/>
      <c r="U27" s="133"/>
      <c r="V27" s="331" t="e">
        <f t="shared" si="4"/>
        <v>#DIV/0!</v>
      </c>
      <c r="W27" s="504">
        <v>2026</v>
      </c>
      <c r="X27" s="168" t="s">
        <v>79</v>
      </c>
      <c r="Y27" s="289" t="s">
        <v>207</v>
      </c>
      <c r="Z27" s="387"/>
      <c r="AA27" s="102"/>
      <c r="AB27" s="103"/>
      <c r="AC27" s="322" t="e">
        <f t="shared" si="1"/>
        <v>#DIV/0!</v>
      </c>
      <c r="AD27" s="296" t="s">
        <v>207</v>
      </c>
      <c r="AE27" s="389"/>
      <c r="AF27" s="108"/>
      <c r="AG27" s="109"/>
      <c r="AH27" s="325" t="e">
        <f t="shared" si="5"/>
        <v>#DIV/0!</v>
      </c>
      <c r="AI27" s="639" t="s">
        <v>207</v>
      </c>
      <c r="AJ27" s="640"/>
      <c r="AK27" s="114"/>
      <c r="AL27" s="115"/>
      <c r="AM27" s="328" t="e">
        <f t="shared" si="6"/>
        <v>#DIV/0!</v>
      </c>
      <c r="AN27" s="301" t="s">
        <v>207</v>
      </c>
      <c r="AO27" s="392"/>
      <c r="AP27" s="132"/>
      <c r="AQ27" s="133"/>
      <c r="AR27" s="331" t="e">
        <f t="shared" si="7"/>
        <v>#DIV/0!</v>
      </c>
    </row>
    <row r="28" spans="1:44" ht="14.5" customHeight="1" x14ac:dyDescent="0.35">
      <c r="A28" s="505"/>
      <c r="B28" s="141" t="s">
        <v>80</v>
      </c>
      <c r="C28" s="290" t="s">
        <v>209</v>
      </c>
      <c r="D28" s="321"/>
      <c r="E28" s="104"/>
      <c r="F28" s="105"/>
      <c r="G28" s="323" t="e">
        <f t="shared" si="0"/>
        <v>#DIV/0!</v>
      </c>
      <c r="H28" s="293" t="s">
        <v>209</v>
      </c>
      <c r="I28" s="334"/>
      <c r="J28" s="110"/>
      <c r="K28" s="111"/>
      <c r="L28" s="326" t="e">
        <f t="shared" si="2"/>
        <v>#DIV/0!</v>
      </c>
      <c r="M28" s="298" t="s">
        <v>209</v>
      </c>
      <c r="N28" s="339"/>
      <c r="O28" s="116"/>
      <c r="P28" s="117"/>
      <c r="Q28" s="329" t="e">
        <f t="shared" si="3"/>
        <v>#DIV/0!</v>
      </c>
      <c r="R28" s="302" t="s">
        <v>209</v>
      </c>
      <c r="S28" s="340"/>
      <c r="T28" s="134"/>
      <c r="U28" s="135"/>
      <c r="V28" s="332" t="e">
        <f t="shared" si="4"/>
        <v>#DIV/0!</v>
      </c>
      <c r="W28" s="505"/>
      <c r="X28" s="141" t="s">
        <v>80</v>
      </c>
      <c r="Y28" s="290" t="s">
        <v>209</v>
      </c>
      <c r="Z28" s="388"/>
      <c r="AA28" s="104"/>
      <c r="AB28" s="105"/>
      <c r="AC28" s="323" t="e">
        <f t="shared" si="1"/>
        <v>#DIV/0!</v>
      </c>
      <c r="AD28" s="293" t="s">
        <v>209</v>
      </c>
      <c r="AE28" s="390"/>
      <c r="AF28" s="110"/>
      <c r="AG28" s="111"/>
      <c r="AH28" s="326" t="e">
        <f t="shared" si="5"/>
        <v>#DIV/0!</v>
      </c>
      <c r="AI28" s="641" t="s">
        <v>209</v>
      </c>
      <c r="AJ28" s="644"/>
      <c r="AK28" s="116"/>
      <c r="AL28" s="117"/>
      <c r="AM28" s="329" t="e">
        <f t="shared" si="6"/>
        <v>#DIV/0!</v>
      </c>
      <c r="AN28" s="302" t="s">
        <v>209</v>
      </c>
      <c r="AO28" s="340"/>
      <c r="AP28" s="134"/>
      <c r="AQ28" s="135"/>
      <c r="AR28" s="332" t="e">
        <f t="shared" si="7"/>
        <v>#DIV/0!</v>
      </c>
    </row>
    <row r="29" spans="1:44" ht="14.5" customHeight="1" x14ac:dyDescent="0.35">
      <c r="A29" s="505"/>
      <c r="B29" s="141" t="s">
        <v>81</v>
      </c>
      <c r="C29" s="291" t="s">
        <v>208</v>
      </c>
      <c r="D29" s="388"/>
      <c r="E29" s="104"/>
      <c r="F29" s="105"/>
      <c r="G29" s="323" t="e">
        <f t="shared" si="0"/>
        <v>#DIV/0!</v>
      </c>
      <c r="H29" s="294" t="s">
        <v>208</v>
      </c>
      <c r="I29" s="390"/>
      <c r="J29" s="110"/>
      <c r="K29" s="111"/>
      <c r="L29" s="326" t="e">
        <f t="shared" si="2"/>
        <v>#DIV/0!</v>
      </c>
      <c r="M29" s="299" t="s">
        <v>208</v>
      </c>
      <c r="N29" s="339"/>
      <c r="O29" s="116"/>
      <c r="P29" s="117"/>
      <c r="Q29" s="329" t="e">
        <f t="shared" si="3"/>
        <v>#DIV/0!</v>
      </c>
      <c r="R29" s="303" t="s">
        <v>208</v>
      </c>
      <c r="S29" s="340"/>
      <c r="T29" s="134"/>
      <c r="U29" s="135"/>
      <c r="V29" s="332" t="e">
        <f t="shared" si="4"/>
        <v>#DIV/0!</v>
      </c>
      <c r="W29" s="505"/>
      <c r="X29" s="141" t="s">
        <v>81</v>
      </c>
      <c r="Y29" s="291" t="s">
        <v>208</v>
      </c>
      <c r="Z29" s="388"/>
      <c r="AA29" s="104"/>
      <c r="AB29" s="105"/>
      <c r="AC29" s="323" t="e">
        <f t="shared" si="1"/>
        <v>#DIV/0!</v>
      </c>
      <c r="AD29" s="294" t="s">
        <v>208</v>
      </c>
      <c r="AE29" s="390"/>
      <c r="AF29" s="110"/>
      <c r="AG29" s="111"/>
      <c r="AH29" s="326" t="e">
        <f t="shared" si="5"/>
        <v>#DIV/0!</v>
      </c>
      <c r="AI29" s="643" t="s">
        <v>208</v>
      </c>
      <c r="AJ29" s="644"/>
      <c r="AK29" s="116"/>
      <c r="AL29" s="117"/>
      <c r="AM29" s="329" t="e">
        <f t="shared" si="6"/>
        <v>#DIV/0!</v>
      </c>
      <c r="AN29" s="303" t="s">
        <v>208</v>
      </c>
      <c r="AO29" s="340"/>
      <c r="AP29" s="134"/>
      <c r="AQ29" s="135"/>
      <c r="AR29" s="332" t="e">
        <f t="shared" si="7"/>
        <v>#DIV/0!</v>
      </c>
    </row>
    <row r="30" spans="1:44" ht="15" customHeight="1" thickBot="1" x14ac:dyDescent="0.4">
      <c r="A30" s="516"/>
      <c r="B30" s="143" t="s">
        <v>82</v>
      </c>
      <c r="C30" s="292" t="s">
        <v>123</v>
      </c>
      <c r="D30" s="250"/>
      <c r="E30" s="106"/>
      <c r="F30" s="107"/>
      <c r="G30" s="324" t="e">
        <f t="shared" si="0"/>
        <v>#DIV/0!</v>
      </c>
      <c r="H30" s="295" t="s">
        <v>123</v>
      </c>
      <c r="I30" s="258"/>
      <c r="J30" s="112"/>
      <c r="K30" s="113"/>
      <c r="L30" s="327" t="e">
        <f t="shared" si="2"/>
        <v>#DIV/0!</v>
      </c>
      <c r="M30" s="300" t="s">
        <v>123</v>
      </c>
      <c r="N30" s="267"/>
      <c r="O30" s="118"/>
      <c r="P30" s="119"/>
      <c r="Q30" s="330" t="e">
        <f t="shared" si="3"/>
        <v>#DIV/0!</v>
      </c>
      <c r="R30" s="304" t="s">
        <v>123</v>
      </c>
      <c r="S30" s="275"/>
      <c r="T30" s="136"/>
      <c r="U30" s="137"/>
      <c r="V30" s="333" t="e">
        <f t="shared" si="4"/>
        <v>#DIV/0!</v>
      </c>
      <c r="W30" s="516"/>
      <c r="X30" s="143" t="s">
        <v>82</v>
      </c>
      <c r="Y30" s="292" t="s">
        <v>123</v>
      </c>
      <c r="Z30" s="250"/>
      <c r="AA30" s="106"/>
      <c r="AB30" s="107"/>
      <c r="AC30" s="324" t="e">
        <f t="shared" si="1"/>
        <v>#DIV/0!</v>
      </c>
      <c r="AD30" s="295" t="s">
        <v>123</v>
      </c>
      <c r="AE30" s="258"/>
      <c r="AF30" s="112"/>
      <c r="AG30" s="113"/>
      <c r="AH30" s="327" t="e">
        <f t="shared" si="5"/>
        <v>#DIV/0!</v>
      </c>
      <c r="AI30" s="645" t="s">
        <v>123</v>
      </c>
      <c r="AJ30" s="646"/>
      <c r="AK30" s="118"/>
      <c r="AL30" s="119"/>
      <c r="AM30" s="330" t="e">
        <f t="shared" si="6"/>
        <v>#DIV/0!</v>
      </c>
      <c r="AN30" s="304" t="s">
        <v>123</v>
      </c>
      <c r="AO30" s="275"/>
      <c r="AP30" s="136"/>
      <c r="AQ30" s="137"/>
      <c r="AR30" s="333" t="e">
        <f t="shared" si="7"/>
        <v>#DIV/0!</v>
      </c>
    </row>
    <row r="31" spans="1:44" x14ac:dyDescent="0.35">
      <c r="F31" t="s">
        <v>108</v>
      </c>
      <c r="G31" s="121" cm="1">
        <f t="array" ref="G31">AVERAGE(ABS(G3:G26))</f>
        <v>0.11770066054240229</v>
      </c>
      <c r="K31" t="s">
        <v>108</v>
      </c>
      <c r="L31" s="124" cm="1">
        <f t="array" ref="L31">AVERAGE(ABS(L3:L26))</f>
        <v>4.6939504994499427E-2</v>
      </c>
      <c r="P31" t="s">
        <v>108</v>
      </c>
      <c r="Q31" s="127" cm="1">
        <f t="array" ref="Q31">AVERAGE(ABS(Q3:Q26))</f>
        <v>3.4005864641574603E-2</v>
      </c>
      <c r="U31" t="s">
        <v>108</v>
      </c>
      <c r="V31" s="130" cm="1">
        <f t="array" ref="V31">AVERAGE(ABS(V3:V26))</f>
        <v>1.6201674210608068E-2</v>
      </c>
      <c r="AB31" t="s">
        <v>108</v>
      </c>
      <c r="AC31" s="121" cm="1">
        <f t="array" ref="AC31">AVERAGE(ABS(AC3:AC26))</f>
        <v>0.86674888524834248</v>
      </c>
      <c r="AG31" t="s">
        <v>108</v>
      </c>
      <c r="AH31" s="124" cm="1">
        <f t="array" ref="AH31">AVERAGE(ABS(AH3:AH26))</f>
        <v>0.13708012485097906</v>
      </c>
      <c r="AL31" t="s">
        <v>108</v>
      </c>
      <c r="AM31" s="127" cm="1">
        <f t="array" ref="AM31">AVERAGE(ABS(AM3:AM26))</f>
        <v>0.10367555318785286</v>
      </c>
      <c r="AQ31" t="s">
        <v>108</v>
      </c>
      <c r="AR31" s="130" cm="1">
        <f t="array" ref="AR31">AVERAGE(ABS(AR3:AR26))</f>
        <v>5.7714503605699595E-2</v>
      </c>
    </row>
  </sheetData>
  <mergeCells count="35">
    <mergeCell ref="A19:A22"/>
    <mergeCell ref="W19:W22"/>
    <mergeCell ref="A23:A26"/>
    <mergeCell ref="W23:W26"/>
    <mergeCell ref="A27:A30"/>
    <mergeCell ref="W27:W30"/>
    <mergeCell ref="A7:A10"/>
    <mergeCell ref="W7:W10"/>
    <mergeCell ref="A11:A14"/>
    <mergeCell ref="W11:W14"/>
    <mergeCell ref="A15:A18"/>
    <mergeCell ref="W15:W18"/>
    <mergeCell ref="AN2:AO2"/>
    <mergeCell ref="A3:A6"/>
    <mergeCell ref="W3:W6"/>
    <mergeCell ref="AT3:AX3"/>
    <mergeCell ref="Y2:Z2"/>
    <mergeCell ref="AD2:AE2"/>
    <mergeCell ref="AI2:AJ2"/>
    <mergeCell ref="Y1:AC1"/>
    <mergeCell ref="AD1:AH1"/>
    <mergeCell ref="AI1:AM1"/>
    <mergeCell ref="AN1:AR1"/>
    <mergeCell ref="A2:B2"/>
    <mergeCell ref="C2:D2"/>
    <mergeCell ref="H2:I2"/>
    <mergeCell ref="M2:N2"/>
    <mergeCell ref="R2:S2"/>
    <mergeCell ref="W2:X2"/>
    <mergeCell ref="A1:B1"/>
    <mergeCell ref="C1:G1"/>
    <mergeCell ref="H1:L1"/>
    <mergeCell ref="M1:Q1"/>
    <mergeCell ref="R1:V1"/>
    <mergeCell ref="W1:X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EEB8-7DDC-460E-81B5-F1FD7D40C8F0}">
  <sheetPr>
    <tabColor rgb="FF4CAF50"/>
  </sheetPr>
  <dimension ref="A1"/>
  <sheetViews>
    <sheetView topLeftCell="K1" zoomScale="28" zoomScaleNormal="70" workbookViewId="0">
      <selection activeCell="BE33" sqref="BE3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7"/>
  <sheetViews>
    <sheetView zoomScale="51" workbookViewId="0">
      <selection activeCell="D19" sqref="D19"/>
    </sheetView>
  </sheetViews>
  <sheetFormatPr defaultRowHeight="14.5" x14ac:dyDescent="0.35"/>
  <cols>
    <col min="1" max="1" width="11.36328125" customWidth="1"/>
    <col min="2" max="2" width="13" customWidth="1"/>
    <col min="3" max="3" width="9.7265625" customWidth="1"/>
    <col min="4" max="4" width="10.7265625" customWidth="1"/>
    <col min="5" max="5" width="11.81640625" customWidth="1"/>
    <col min="13" max="13" width="9.90625" customWidth="1"/>
    <col min="15" max="15" width="9.90625" customWidth="1"/>
    <col min="16" max="16" width="10.08984375" customWidth="1"/>
    <col min="27" max="27" width="9.08984375" customWidth="1"/>
    <col min="28" max="28" width="9.90625" bestFit="1" customWidth="1"/>
    <col min="32" max="32" width="11.453125" customWidth="1"/>
    <col min="39" max="40" width="9.1796875" customWidth="1"/>
    <col min="49" max="49" width="10.26953125" bestFit="1" customWidth="1"/>
    <col min="51" max="51" width="10.54296875" customWidth="1"/>
    <col min="52" max="52" width="10.6328125" customWidth="1"/>
  </cols>
  <sheetData>
    <row r="1" spans="1:62" x14ac:dyDescent="0.35">
      <c r="A1" s="630" t="s">
        <v>0</v>
      </c>
      <c r="B1" s="541"/>
      <c r="C1" s="624" t="s">
        <v>44</v>
      </c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6"/>
      <c r="O1" s="627" t="s">
        <v>45</v>
      </c>
      <c r="P1" s="628"/>
      <c r="Q1" s="628"/>
      <c r="R1" s="628"/>
      <c r="S1" s="628"/>
      <c r="T1" s="628"/>
      <c r="U1" s="628"/>
      <c r="V1" s="628"/>
      <c r="W1" s="628"/>
      <c r="X1" s="628"/>
      <c r="Y1" s="628"/>
      <c r="Z1" s="629"/>
      <c r="AA1" s="607" t="s">
        <v>43</v>
      </c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9"/>
      <c r="AM1" s="599" t="s">
        <v>47</v>
      </c>
      <c r="AN1" s="600"/>
      <c r="AO1" s="600"/>
      <c r="AP1" s="600"/>
      <c r="AQ1" s="600"/>
      <c r="AR1" s="600"/>
      <c r="AS1" s="600"/>
      <c r="AT1" s="600"/>
      <c r="AU1" s="600"/>
      <c r="AV1" s="600"/>
      <c r="AW1" s="600"/>
      <c r="AX1" s="601"/>
      <c r="AY1" s="591" t="s">
        <v>46</v>
      </c>
      <c r="AZ1" s="592"/>
      <c r="BA1" s="592"/>
      <c r="BB1" s="592"/>
      <c r="BC1" s="592"/>
      <c r="BD1" s="592"/>
      <c r="BE1" s="592"/>
      <c r="BF1" s="592"/>
      <c r="BG1" s="592"/>
      <c r="BH1" s="592"/>
      <c r="BI1" s="592"/>
      <c r="BJ1" s="593"/>
    </row>
    <row r="2" spans="1:62" x14ac:dyDescent="0.35">
      <c r="A2" s="630" t="s">
        <v>37</v>
      </c>
      <c r="B2" s="541"/>
      <c r="C2" s="636" t="s">
        <v>35</v>
      </c>
      <c r="D2" s="632"/>
      <c r="E2" s="632"/>
      <c r="F2" s="631" t="s">
        <v>36</v>
      </c>
      <c r="G2" s="632"/>
      <c r="H2" s="633"/>
      <c r="I2" s="631" t="s">
        <v>38</v>
      </c>
      <c r="J2" s="632"/>
      <c r="K2" s="633"/>
      <c r="L2" s="631" t="s">
        <v>39</v>
      </c>
      <c r="M2" s="632"/>
      <c r="N2" s="634"/>
      <c r="O2" s="635" t="s">
        <v>35</v>
      </c>
      <c r="P2" s="621"/>
      <c r="Q2" s="622"/>
      <c r="R2" s="620" t="s">
        <v>36</v>
      </c>
      <c r="S2" s="621"/>
      <c r="T2" s="622"/>
      <c r="U2" s="620" t="s">
        <v>38</v>
      </c>
      <c r="V2" s="621"/>
      <c r="W2" s="622"/>
      <c r="X2" s="620" t="s">
        <v>39</v>
      </c>
      <c r="Y2" s="621"/>
      <c r="Z2" s="623"/>
      <c r="AA2" s="610" t="s">
        <v>35</v>
      </c>
      <c r="AB2" s="611"/>
      <c r="AC2" s="612"/>
      <c r="AD2" s="613" t="s">
        <v>36</v>
      </c>
      <c r="AE2" s="611"/>
      <c r="AF2" s="612"/>
      <c r="AG2" s="613" t="s">
        <v>38</v>
      </c>
      <c r="AH2" s="611"/>
      <c r="AI2" s="612"/>
      <c r="AJ2" s="613" t="s">
        <v>39</v>
      </c>
      <c r="AK2" s="611"/>
      <c r="AL2" s="614"/>
      <c r="AM2" s="602" t="s">
        <v>35</v>
      </c>
      <c r="AN2" s="603"/>
      <c r="AO2" s="604"/>
      <c r="AP2" s="605" t="s">
        <v>36</v>
      </c>
      <c r="AQ2" s="603"/>
      <c r="AR2" s="604"/>
      <c r="AS2" s="605" t="s">
        <v>38</v>
      </c>
      <c r="AT2" s="603"/>
      <c r="AU2" s="604"/>
      <c r="AV2" s="605" t="s">
        <v>39</v>
      </c>
      <c r="AW2" s="603"/>
      <c r="AX2" s="606"/>
      <c r="AY2" s="594" t="s">
        <v>35</v>
      </c>
      <c r="AZ2" s="595"/>
      <c r="BA2" s="596"/>
      <c r="BB2" s="597" t="s">
        <v>36</v>
      </c>
      <c r="BC2" s="595"/>
      <c r="BD2" s="596"/>
      <c r="BE2" s="597" t="s">
        <v>38</v>
      </c>
      <c r="BF2" s="595"/>
      <c r="BG2" s="596"/>
      <c r="BH2" s="597" t="s">
        <v>39</v>
      </c>
      <c r="BI2" s="595"/>
      <c r="BJ2" s="598"/>
    </row>
    <row r="3" spans="1:62" ht="15" thickBot="1" x14ac:dyDescent="0.4">
      <c r="A3" s="618" t="s">
        <v>1</v>
      </c>
      <c r="B3" s="619"/>
      <c r="C3" s="4" t="s">
        <v>8</v>
      </c>
      <c r="D3" s="5" t="s">
        <v>9</v>
      </c>
      <c r="E3" s="5" t="s">
        <v>10</v>
      </c>
      <c r="F3" s="6" t="s">
        <v>8</v>
      </c>
      <c r="G3" s="5" t="s">
        <v>9</v>
      </c>
      <c r="H3" s="7" t="s">
        <v>10</v>
      </c>
      <c r="I3" s="6" t="s">
        <v>8</v>
      </c>
      <c r="J3" s="5" t="s">
        <v>9</v>
      </c>
      <c r="K3" s="7" t="s">
        <v>10</v>
      </c>
      <c r="L3" s="6" t="s">
        <v>8</v>
      </c>
      <c r="M3" s="5" t="s">
        <v>9</v>
      </c>
      <c r="N3" s="8" t="s">
        <v>10</v>
      </c>
      <c r="O3" s="9" t="s">
        <v>8</v>
      </c>
      <c r="P3" s="10" t="s">
        <v>9</v>
      </c>
      <c r="Q3" s="11" t="s">
        <v>10</v>
      </c>
      <c r="R3" s="12" t="s">
        <v>8</v>
      </c>
      <c r="S3" s="10" t="s">
        <v>9</v>
      </c>
      <c r="T3" s="11" t="s">
        <v>10</v>
      </c>
      <c r="U3" s="12" t="s">
        <v>8</v>
      </c>
      <c r="V3" s="10" t="s">
        <v>9</v>
      </c>
      <c r="W3" s="11" t="s">
        <v>10</v>
      </c>
      <c r="X3" s="12" t="s">
        <v>8</v>
      </c>
      <c r="Y3" s="10" t="s">
        <v>9</v>
      </c>
      <c r="Z3" s="13" t="s">
        <v>10</v>
      </c>
      <c r="AA3" s="14" t="s">
        <v>8</v>
      </c>
      <c r="AB3" s="15" t="s">
        <v>9</v>
      </c>
      <c r="AC3" s="16" t="s">
        <v>10</v>
      </c>
      <c r="AD3" s="17" t="s">
        <v>8</v>
      </c>
      <c r="AE3" s="15" t="s">
        <v>9</v>
      </c>
      <c r="AF3" s="16" t="s">
        <v>10</v>
      </c>
      <c r="AG3" s="17" t="s">
        <v>8</v>
      </c>
      <c r="AH3" s="15" t="s">
        <v>9</v>
      </c>
      <c r="AI3" s="16" t="s">
        <v>10</v>
      </c>
      <c r="AJ3" s="17" t="s">
        <v>8</v>
      </c>
      <c r="AK3" s="15" t="s">
        <v>9</v>
      </c>
      <c r="AL3" s="18" t="s">
        <v>10</v>
      </c>
      <c r="AM3" s="45" t="s">
        <v>8</v>
      </c>
      <c r="AN3" s="46" t="s">
        <v>9</v>
      </c>
      <c r="AO3" s="47" t="s">
        <v>10</v>
      </c>
      <c r="AP3" s="48" t="s">
        <v>8</v>
      </c>
      <c r="AQ3" s="46" t="s">
        <v>9</v>
      </c>
      <c r="AR3" s="47" t="s">
        <v>10</v>
      </c>
      <c r="AS3" s="48" t="s">
        <v>8</v>
      </c>
      <c r="AT3" s="46" t="s">
        <v>9</v>
      </c>
      <c r="AU3" s="47" t="s">
        <v>10</v>
      </c>
      <c r="AV3" s="48" t="s">
        <v>8</v>
      </c>
      <c r="AW3" s="46" t="s">
        <v>9</v>
      </c>
      <c r="AX3" s="49" t="s">
        <v>10</v>
      </c>
      <c r="AY3" s="40" t="s">
        <v>8</v>
      </c>
      <c r="AZ3" s="41" t="s">
        <v>9</v>
      </c>
      <c r="BA3" s="42" t="s">
        <v>10</v>
      </c>
      <c r="BB3" s="43" t="s">
        <v>8</v>
      </c>
      <c r="BC3" s="41" t="s">
        <v>9</v>
      </c>
      <c r="BD3" s="42" t="s">
        <v>10</v>
      </c>
      <c r="BE3" s="43" t="s">
        <v>8</v>
      </c>
      <c r="BF3" s="41" t="s">
        <v>9</v>
      </c>
      <c r="BG3" s="42" t="s">
        <v>10</v>
      </c>
      <c r="BH3" s="43" t="s">
        <v>8</v>
      </c>
      <c r="BI3" s="41" t="s">
        <v>9</v>
      </c>
      <c r="BJ3" s="44" t="s">
        <v>10</v>
      </c>
    </row>
    <row r="4" spans="1:62" x14ac:dyDescent="0.35">
      <c r="A4" s="615" t="s">
        <v>2</v>
      </c>
      <c r="B4" s="1" t="s">
        <v>11</v>
      </c>
      <c r="C4" s="50">
        <v>6638.5</v>
      </c>
      <c r="D4" s="51">
        <v>9740.23</v>
      </c>
      <c r="E4" s="19">
        <f>(D4-C4)/C4</f>
        <v>0.46723356179859904</v>
      </c>
      <c r="F4" s="59">
        <v>2470.5</v>
      </c>
      <c r="G4" s="60">
        <v>3262.72</v>
      </c>
      <c r="H4" s="23">
        <f>(G4-F4)/F4</f>
        <v>0.32067192875936035</v>
      </c>
      <c r="I4" s="68">
        <v>1584.1</v>
      </c>
      <c r="J4" s="69">
        <v>1555.1</v>
      </c>
      <c r="K4" s="27">
        <f>(J4-I4)/I4</f>
        <v>-1.8306925067861878E-2</v>
      </c>
      <c r="L4" s="77">
        <v>1.0962000000000001</v>
      </c>
      <c r="M4" s="78">
        <v>1.1222000000000001</v>
      </c>
      <c r="N4" s="31">
        <f>(M4-L4)/L4</f>
        <v>2.3718299580368564E-2</v>
      </c>
      <c r="O4" s="50">
        <v>6638.5</v>
      </c>
      <c r="P4" s="51">
        <v>6349.5</v>
      </c>
      <c r="Q4" s="19">
        <f>(P4-O4)/O4</f>
        <v>-4.353393085787452E-2</v>
      </c>
      <c r="R4" s="59">
        <v>2470.5</v>
      </c>
      <c r="S4" s="60">
        <v>2589.6999999999998</v>
      </c>
      <c r="T4" s="23">
        <f>(S4-R4)/R4</f>
        <v>4.8249342238413206E-2</v>
      </c>
      <c r="U4" s="68">
        <v>1584.1</v>
      </c>
      <c r="V4" s="69">
        <v>1590.01</v>
      </c>
      <c r="W4" s="27">
        <f>(V4-U4)/U4</f>
        <v>3.7308250741746622E-3</v>
      </c>
      <c r="X4" s="77">
        <v>1.0962000000000001</v>
      </c>
      <c r="Y4" s="78">
        <v>1.1028</v>
      </c>
      <c r="Z4" s="36">
        <f>(Y4-X4)/X4</f>
        <v>6.0207991242473445E-3</v>
      </c>
      <c r="AA4" s="50">
        <v>6638.5</v>
      </c>
      <c r="AB4" s="51">
        <v>9667.06</v>
      </c>
      <c r="AC4" s="19">
        <f>(AB4-AA4)/AA4</f>
        <v>0.45621149356029217</v>
      </c>
      <c r="AD4" s="59">
        <v>2470.5</v>
      </c>
      <c r="AE4" s="60">
        <v>3268.96</v>
      </c>
      <c r="AF4" s="23">
        <f>(AE4-AD4)/AD4</f>
        <v>0.32319773325237805</v>
      </c>
      <c r="AG4" s="68">
        <v>1584.1</v>
      </c>
      <c r="AH4" s="69">
        <v>1555.55</v>
      </c>
      <c r="AI4" s="27">
        <f>(AH4-AG4)/AG4</f>
        <v>-1.8022852092670891E-2</v>
      </c>
      <c r="AJ4" s="77">
        <v>1.0962000000000001</v>
      </c>
      <c r="AK4" s="78">
        <v>1.1221000000000001</v>
      </c>
      <c r="AL4" s="36">
        <f>(AK4-AJ4)/AJ4</f>
        <v>2.3627075351213313E-2</v>
      </c>
      <c r="AM4" s="50">
        <v>6638.5</v>
      </c>
      <c r="AN4" s="51">
        <v>6461.44</v>
      </c>
      <c r="AO4" s="19">
        <f>(AN4-AM4)/AM4</f>
        <v>-2.6671687881298548E-2</v>
      </c>
      <c r="AP4" s="59">
        <v>2470.5</v>
      </c>
      <c r="AQ4" s="60">
        <v>2599.59</v>
      </c>
      <c r="AR4" s="23">
        <f>(AQ4-AP4)/AP4</f>
        <v>5.2252580449301818E-2</v>
      </c>
      <c r="AS4" s="68">
        <v>1584.1</v>
      </c>
      <c r="AT4" s="69">
        <v>1589.76</v>
      </c>
      <c r="AU4" s="27">
        <f>(AT4-AS4)/AS4</f>
        <v>3.5730067546241285E-3</v>
      </c>
      <c r="AV4" s="77">
        <v>1.0962000000000001</v>
      </c>
      <c r="AW4" s="78">
        <v>1.1023000000000001</v>
      </c>
      <c r="AX4" s="36">
        <f>(AW4-AV4)/AV4</f>
        <v>5.5646779784710764E-3</v>
      </c>
      <c r="AY4" s="50">
        <v>6638.5</v>
      </c>
      <c r="AZ4" s="51">
        <v>6934.94</v>
      </c>
      <c r="BA4" s="19">
        <f>(AZ4-AY4)/AY4</f>
        <v>4.4654665963696556E-2</v>
      </c>
      <c r="BB4" s="59">
        <v>2470.5</v>
      </c>
      <c r="BC4" s="60">
        <v>3271.75</v>
      </c>
      <c r="BD4" s="23">
        <f>(BC4-BB4)/BB4</f>
        <v>0.32432705929973688</v>
      </c>
      <c r="BE4" s="68">
        <v>1584.1</v>
      </c>
      <c r="BF4" s="69">
        <v>1554.68</v>
      </c>
      <c r="BG4" s="27">
        <f>(BF4-BE4)/BE4</f>
        <v>-1.8572059844706678E-2</v>
      </c>
      <c r="BH4" s="77">
        <v>1.0962000000000001</v>
      </c>
      <c r="BI4" s="78">
        <v>1.1068</v>
      </c>
      <c r="BJ4" s="36">
        <f>(BI4-BH4)/BH4</f>
        <v>9.6697682904578926E-3</v>
      </c>
    </row>
    <row r="5" spans="1:62" x14ac:dyDescent="0.35">
      <c r="A5" s="616"/>
      <c r="B5" s="2" t="s">
        <v>12</v>
      </c>
      <c r="C5" s="52">
        <v>9229.9</v>
      </c>
      <c r="D5" s="87">
        <v>13076.75</v>
      </c>
      <c r="E5" s="20">
        <f>(D5-C5)/C5</f>
        <v>0.41678133024193115</v>
      </c>
      <c r="F5" s="88">
        <v>3115.9</v>
      </c>
      <c r="G5" s="88">
        <v>3295.31</v>
      </c>
      <c r="H5" s="24">
        <f>(G5-F5)/F5</f>
        <v>5.7578869668474551E-2</v>
      </c>
      <c r="I5" s="70">
        <v>1779.9</v>
      </c>
      <c r="J5" s="89">
        <v>1587.4</v>
      </c>
      <c r="K5" s="28">
        <f>(J5-I5)/I5</f>
        <v>-0.10815214337884151</v>
      </c>
      <c r="L5" s="79">
        <v>1.125</v>
      </c>
      <c r="M5" s="90">
        <v>1.1234999999999999</v>
      </c>
      <c r="N5" s="32">
        <f>(M5-L5)/L5</f>
        <v>-1.3333333333333838E-3</v>
      </c>
      <c r="O5" s="52">
        <v>9229.9</v>
      </c>
      <c r="P5" s="87">
        <v>9152.48</v>
      </c>
      <c r="Q5" s="20">
        <f>(P5-O5)/O5</f>
        <v>-8.3879565325734925E-3</v>
      </c>
      <c r="R5" s="88">
        <v>3115.9</v>
      </c>
      <c r="S5" s="88">
        <v>3096</v>
      </c>
      <c r="T5" s="24">
        <f>(S5-R5)/R5</f>
        <v>-6.386597772714173E-3</v>
      </c>
      <c r="U5" s="70">
        <v>1779.9</v>
      </c>
      <c r="V5" s="89">
        <v>1800.77</v>
      </c>
      <c r="W5" s="28">
        <f>(V5-U5)/U5</f>
        <v>1.1725377830215119E-2</v>
      </c>
      <c r="X5" s="79">
        <v>1.125</v>
      </c>
      <c r="Y5" s="90">
        <v>1.1231</v>
      </c>
      <c r="Z5" s="37">
        <f>(Y5-X5)/X5</f>
        <v>-1.6888888888889004E-3</v>
      </c>
      <c r="AA5" s="52">
        <v>9229.9</v>
      </c>
      <c r="AB5" s="87">
        <v>12768.7</v>
      </c>
      <c r="AC5" s="20">
        <f>(AB5-AA5)/AA5</f>
        <v>0.38340610407480052</v>
      </c>
      <c r="AD5" s="88">
        <v>3115.9</v>
      </c>
      <c r="AE5" s="88">
        <v>3295</v>
      </c>
      <c r="AF5" s="24">
        <f>(AE5-AD5)/AD5</f>
        <v>5.7479379954427263E-2</v>
      </c>
      <c r="AG5" s="70">
        <v>1779.9</v>
      </c>
      <c r="AH5" s="89">
        <v>1589.24</v>
      </c>
      <c r="AI5" s="28">
        <f>(AH5-AG5)/AG5</f>
        <v>-0.1071183774369347</v>
      </c>
      <c r="AJ5" s="79">
        <v>1.125</v>
      </c>
      <c r="AK5" s="90">
        <v>1.1232</v>
      </c>
      <c r="AL5" s="37">
        <f>(AK5-AJ5)/AJ5</f>
        <v>-1.6000000000000211E-3</v>
      </c>
      <c r="AM5" s="52">
        <v>9229.9</v>
      </c>
      <c r="AN5" s="87">
        <v>9143.9599999999991</v>
      </c>
      <c r="AO5" s="20">
        <f>(AN5-AM5)/AM5</f>
        <v>-9.3110434565922186E-3</v>
      </c>
      <c r="AP5" s="88">
        <v>3115.9</v>
      </c>
      <c r="AQ5" s="88">
        <v>3094.3</v>
      </c>
      <c r="AR5" s="24">
        <f>(AQ5-AP5)/AP5</f>
        <v>-6.9321865271670816E-3</v>
      </c>
      <c r="AS5" s="70">
        <v>1779.9</v>
      </c>
      <c r="AT5" s="89">
        <v>1801.02</v>
      </c>
      <c r="AU5" s="28">
        <f>(AT5-AS5)/AS5</f>
        <v>1.1865835159278549E-2</v>
      </c>
      <c r="AV5" s="79">
        <v>1.125</v>
      </c>
      <c r="AW5" s="90">
        <v>1.1232</v>
      </c>
      <c r="AX5" s="37">
        <f>(AW5-AV5)/AV5</f>
        <v>-1.6000000000000211E-3</v>
      </c>
      <c r="AY5" s="52">
        <v>9229.9</v>
      </c>
      <c r="AZ5" s="87">
        <v>7011.87</v>
      </c>
      <c r="BA5" s="20">
        <f>(AZ5-AY5)/AY5</f>
        <v>-0.24030921245083911</v>
      </c>
      <c r="BB5" s="88">
        <v>3115.9</v>
      </c>
      <c r="BC5" s="88">
        <v>3297.88</v>
      </c>
      <c r="BD5" s="24">
        <f>(BC5-BB5)/BB5</f>
        <v>5.8403671491382911E-2</v>
      </c>
      <c r="BE5" s="70">
        <v>1779.9</v>
      </c>
      <c r="BF5" s="89">
        <v>1601.16</v>
      </c>
      <c r="BG5" s="28">
        <f>(BF5-BE5)/BE5</f>
        <v>-0.1004213719871903</v>
      </c>
      <c r="BH5" s="79">
        <v>1.125</v>
      </c>
      <c r="BI5" s="90">
        <v>1.0956999999999999</v>
      </c>
      <c r="BJ5" s="37">
        <f>(BI5-BH5)/BH5</f>
        <v>-2.6044444444444537E-2</v>
      </c>
    </row>
    <row r="6" spans="1:62" x14ac:dyDescent="0.35">
      <c r="A6" s="616"/>
      <c r="B6" s="2" t="s">
        <v>13</v>
      </c>
      <c r="C6" s="52">
        <v>10620.5</v>
      </c>
      <c r="D6" s="87">
        <v>17613.099999999999</v>
      </c>
      <c r="E6" s="20">
        <f>(D6-C6)/C6</f>
        <v>0.65840591309260377</v>
      </c>
      <c r="F6" s="61">
        <v>3380.8</v>
      </c>
      <c r="G6" s="88">
        <v>3328.59</v>
      </c>
      <c r="H6" s="24">
        <f>(G6-F6)/F6</f>
        <v>-1.5443090392806447E-2</v>
      </c>
      <c r="I6" s="70">
        <v>1912.3</v>
      </c>
      <c r="J6" s="89">
        <v>1620.75</v>
      </c>
      <c r="K6" s="28">
        <f>(J6-I6)/I6</f>
        <v>-0.15246038801443287</v>
      </c>
      <c r="L6" s="79">
        <v>1.1747000000000001</v>
      </c>
      <c r="M6" s="90">
        <v>1.1247</v>
      </c>
      <c r="N6" s="32">
        <f>(M6-L6)/L6</f>
        <v>-4.2564058908657568E-2</v>
      </c>
      <c r="O6" s="52">
        <v>10620.5</v>
      </c>
      <c r="P6" s="87">
        <v>10791.47</v>
      </c>
      <c r="Q6" s="20">
        <f>(P6-O6)/O6</f>
        <v>1.6098112141612858E-2</v>
      </c>
      <c r="R6" s="61">
        <v>3380.8</v>
      </c>
      <c r="S6" s="88">
        <v>3361.39</v>
      </c>
      <c r="T6" s="24">
        <f>(S6-R6)/R6</f>
        <v>-5.7412446758164657E-3</v>
      </c>
      <c r="U6" s="70">
        <v>1912.3</v>
      </c>
      <c r="V6" s="89">
        <v>1892.64</v>
      </c>
      <c r="W6" s="28">
        <f>(V6-U6)/U6</f>
        <v>-1.028081367986187E-2</v>
      </c>
      <c r="X6" s="79">
        <v>1.1747000000000001</v>
      </c>
      <c r="Y6" s="90">
        <v>1.1719999999999999</v>
      </c>
      <c r="Z6" s="37">
        <f>(Y6-X6)/X6</f>
        <v>-2.2984591810676315E-3</v>
      </c>
      <c r="AA6" s="52">
        <v>10620.5</v>
      </c>
      <c r="AB6" s="87">
        <v>17024.11</v>
      </c>
      <c r="AC6" s="20">
        <f>(AB6-AA6)/AA6</f>
        <v>0.60294807212466461</v>
      </c>
      <c r="AD6" s="61">
        <v>3380.8</v>
      </c>
      <c r="AE6" s="88">
        <v>3327.08</v>
      </c>
      <c r="AF6" s="24">
        <f>(AE6-AD6)/AD6</f>
        <v>-1.5889730241363066E-2</v>
      </c>
      <c r="AG6" s="70">
        <v>1912.3</v>
      </c>
      <c r="AH6" s="89">
        <v>1626.89</v>
      </c>
      <c r="AI6" s="28">
        <f>(AH6-AG6)/AG6</f>
        <v>-0.14924959472886046</v>
      </c>
      <c r="AJ6" s="79">
        <v>1.1747000000000001</v>
      </c>
      <c r="AK6" s="90">
        <v>1.1251</v>
      </c>
      <c r="AL6" s="37">
        <f>(AK6-AJ6)/AJ6</f>
        <v>-4.2223546437388342E-2</v>
      </c>
      <c r="AM6" s="52">
        <v>10620.5</v>
      </c>
      <c r="AN6" s="87">
        <v>10811.04</v>
      </c>
      <c r="AO6" s="20">
        <f>(AN6-AM6)/AM6</f>
        <v>1.7940774916435278E-2</v>
      </c>
      <c r="AP6" s="61">
        <v>3380.8</v>
      </c>
      <c r="AQ6" s="88">
        <v>3358.77</v>
      </c>
      <c r="AR6" s="24">
        <f>(AQ6-AP6)/AP6</f>
        <v>-6.5162091812589326E-3</v>
      </c>
      <c r="AS6" s="70">
        <v>1912.3</v>
      </c>
      <c r="AT6" s="89">
        <v>1888.44</v>
      </c>
      <c r="AU6" s="28">
        <f>(AT6-AS6)/AS6</f>
        <v>-1.2477121790513988E-2</v>
      </c>
      <c r="AV6" s="79">
        <v>1.1747000000000001</v>
      </c>
      <c r="AW6" s="90">
        <v>1.1727000000000001</v>
      </c>
      <c r="AX6" s="37">
        <f>(AW6-AV6)/AV6</f>
        <v>-1.7025623563463026E-3</v>
      </c>
      <c r="AY6" s="52">
        <v>10620.5</v>
      </c>
      <c r="AZ6" s="87">
        <v>7549.37</v>
      </c>
      <c r="BA6" s="20">
        <f>(AZ6-AY6)/AY6</f>
        <v>-0.28917000141236288</v>
      </c>
      <c r="BB6" s="61">
        <v>3380.8</v>
      </c>
      <c r="BC6" s="88">
        <v>3354.58</v>
      </c>
      <c r="BD6" s="24">
        <f>(BC6-BB6)/BB6</f>
        <v>-7.7555608140085939E-3</v>
      </c>
      <c r="BE6" s="70">
        <v>1912.3</v>
      </c>
      <c r="BF6" s="89">
        <v>1688.72</v>
      </c>
      <c r="BG6" s="28">
        <f>(BF6-BE6)/BE6</f>
        <v>-0.11691680175704645</v>
      </c>
      <c r="BH6" s="79">
        <v>1.1747000000000001</v>
      </c>
      <c r="BI6" s="90">
        <v>1.0964</v>
      </c>
      <c r="BJ6" s="37">
        <f>(BI6-BH6)/BH6</f>
        <v>-6.6655316250957719E-2</v>
      </c>
    </row>
    <row r="7" spans="1:62" ht="15" thickBot="1" x14ac:dyDescent="0.4">
      <c r="A7" s="617"/>
      <c r="B7" s="3" t="s">
        <v>14</v>
      </c>
      <c r="C7" s="53">
        <v>29359.9</v>
      </c>
      <c r="D7" s="54">
        <v>23723.119999999999</v>
      </c>
      <c r="E7" s="20">
        <f>(D7-C7)/C7</f>
        <v>-0.19198907353226688</v>
      </c>
      <c r="F7" s="62">
        <v>3756.1</v>
      </c>
      <c r="G7" s="63">
        <v>3362.21</v>
      </c>
      <c r="H7" s="24">
        <f>(G7-F7)/F7</f>
        <v>-0.10486675008652589</v>
      </c>
      <c r="I7" s="71">
        <v>1895.1</v>
      </c>
      <c r="J7" s="72">
        <v>1654.8</v>
      </c>
      <c r="K7" s="28">
        <f>(J7-I7)/I7</f>
        <v>-0.12680069653316445</v>
      </c>
      <c r="L7" s="80">
        <v>1.2212000000000001</v>
      </c>
      <c r="M7" s="81">
        <v>1.1258999999999999</v>
      </c>
      <c r="N7" s="32">
        <f>(M7-L7)/L7</f>
        <v>-7.8037995414346667E-2</v>
      </c>
      <c r="O7" s="53">
        <v>29359.9</v>
      </c>
      <c r="P7" s="54">
        <v>28792.57</v>
      </c>
      <c r="Q7" s="20">
        <f>(P7-O7)/O7</f>
        <v>-1.9323294697870284E-2</v>
      </c>
      <c r="R7" s="62">
        <v>3756.1</v>
      </c>
      <c r="S7" s="63">
        <v>3753.92</v>
      </c>
      <c r="T7" s="24">
        <f>(S7-R7)/R7</f>
        <v>-5.8038923351344117E-4</v>
      </c>
      <c r="U7" s="71">
        <v>1895.1</v>
      </c>
      <c r="V7" s="72">
        <v>1895.58</v>
      </c>
      <c r="W7" s="28">
        <f>(V7-U7)/U7</f>
        <v>2.5328478708248545E-4</v>
      </c>
      <c r="X7" s="80">
        <v>1.2212000000000001</v>
      </c>
      <c r="Y7" s="81">
        <v>1.2215</v>
      </c>
      <c r="Z7" s="37">
        <f>(Y7-X7)/X7</f>
        <v>2.4566000655090644E-4</v>
      </c>
      <c r="AA7" s="53">
        <v>29359.9</v>
      </c>
      <c r="AB7" s="54">
        <v>22205.96</v>
      </c>
      <c r="AC7" s="20">
        <f>(AB7-AA7)/AA7</f>
        <v>-0.2436636364565275</v>
      </c>
      <c r="AD7" s="62">
        <v>3756.1</v>
      </c>
      <c r="AE7" s="63">
        <v>3360.92</v>
      </c>
      <c r="AF7" s="24">
        <f>(AE7-AD7)/AD7</f>
        <v>-0.10521019142195358</v>
      </c>
      <c r="AG7" s="71">
        <v>1895.1</v>
      </c>
      <c r="AH7" s="72">
        <v>1663.52</v>
      </c>
      <c r="AI7" s="28">
        <f>(AH7-AG7)/AG7</f>
        <v>-0.12219935623449947</v>
      </c>
      <c r="AJ7" s="80">
        <v>1.2212000000000001</v>
      </c>
      <c r="AK7" s="81">
        <v>1.1269</v>
      </c>
      <c r="AL7" s="37">
        <f>(AK7-AJ7)/AJ7</f>
        <v>-7.7219128725843467E-2</v>
      </c>
      <c r="AM7" s="53">
        <v>29359.9</v>
      </c>
      <c r="AN7" s="54">
        <v>29134.07</v>
      </c>
      <c r="AO7" s="20">
        <f>(AN7-AM7)/AM7</f>
        <v>-7.6917836913614054E-3</v>
      </c>
      <c r="AP7" s="62">
        <v>3756.1</v>
      </c>
      <c r="AQ7" s="63">
        <v>3754.07</v>
      </c>
      <c r="AR7" s="24">
        <f>(AQ7-AP7)/AP7</f>
        <v>-5.4045419451019549E-4</v>
      </c>
      <c r="AS7" s="71">
        <v>1895.1</v>
      </c>
      <c r="AT7" s="72">
        <v>1896.42</v>
      </c>
      <c r="AU7" s="28">
        <f>(AT7-AS7)/AS7</f>
        <v>6.9653316447689504E-4</v>
      </c>
      <c r="AV7" s="80">
        <v>1.2212000000000001</v>
      </c>
      <c r="AW7" s="81">
        <v>1.2217</v>
      </c>
      <c r="AX7" s="37">
        <f>(AW7-AV7)/AV7</f>
        <v>4.0943334425151072E-4</v>
      </c>
      <c r="AY7" s="53">
        <v>29359.9</v>
      </c>
      <c r="AZ7" s="54">
        <v>8964.32</v>
      </c>
      <c r="BA7" s="20">
        <f>(AZ7-AY7)/AY7</f>
        <v>-0.69467470938252518</v>
      </c>
      <c r="BB7" s="62">
        <v>3756.1</v>
      </c>
      <c r="BC7" s="63">
        <v>3433.93</v>
      </c>
      <c r="BD7" s="24">
        <f>(BC7-BB7)/BB7</f>
        <v>-8.5772476771119002E-2</v>
      </c>
      <c r="BE7" s="71">
        <v>1895.1</v>
      </c>
      <c r="BF7" s="72">
        <v>1781.9</v>
      </c>
      <c r="BG7" s="28">
        <f>(BF7-BE7)/BE7</f>
        <v>-5.9732995620283794E-2</v>
      </c>
      <c r="BH7" s="80">
        <v>1.2212000000000001</v>
      </c>
      <c r="BI7" s="81">
        <v>1.0999000000000001</v>
      </c>
      <c r="BJ7" s="37">
        <f>(BI7-BH7)/BH7</f>
        <v>-9.9328529315427419E-2</v>
      </c>
    </row>
    <row r="8" spans="1:62" x14ac:dyDescent="0.35">
      <c r="A8" s="615" t="s">
        <v>3</v>
      </c>
      <c r="B8" s="1" t="s">
        <v>15</v>
      </c>
      <c r="C8" s="55">
        <v>58718.3</v>
      </c>
      <c r="D8" s="56">
        <v>38819.47</v>
      </c>
      <c r="E8" s="21">
        <f>(D8-C8)/C8</f>
        <v>-0.33888634378038873</v>
      </c>
      <c r="F8" s="64">
        <v>4019.9</v>
      </c>
      <c r="G8" s="65">
        <v>3796.65</v>
      </c>
      <c r="H8" s="25">
        <f>(G8-F8)/F8</f>
        <v>-5.5536207368342493E-2</v>
      </c>
      <c r="I8" s="73">
        <v>1727.3</v>
      </c>
      <c r="J8" s="74">
        <v>1937.56</v>
      </c>
      <c r="K8" s="29">
        <f>(J8-I8)/I8</f>
        <v>0.12172755167023679</v>
      </c>
      <c r="L8" s="82">
        <v>1.1775</v>
      </c>
      <c r="M8" s="83">
        <v>1.2238</v>
      </c>
      <c r="N8" s="33">
        <f>(M8-L8)/L8</f>
        <v>3.9320594479830155E-2</v>
      </c>
      <c r="O8" s="55">
        <v>58718.3</v>
      </c>
      <c r="P8" s="56">
        <v>58719.75</v>
      </c>
      <c r="Q8" s="21">
        <f>(P8-O8)/O8</f>
        <v>2.4694175410342082E-5</v>
      </c>
      <c r="R8" s="64">
        <v>4019.9</v>
      </c>
      <c r="S8" s="65">
        <v>3971.8</v>
      </c>
      <c r="T8" s="25">
        <f>(S8-R8)/R8</f>
        <v>-1.19654717779049E-2</v>
      </c>
      <c r="U8" s="73">
        <v>1727.3</v>
      </c>
      <c r="V8" s="74">
        <v>1714.23</v>
      </c>
      <c r="W8" s="29">
        <f>(V8-U8)/U8</f>
        <v>-7.5667226306952683E-3</v>
      </c>
      <c r="X8" s="82">
        <v>1.1775</v>
      </c>
      <c r="Y8" s="83">
        <v>1.1727000000000001</v>
      </c>
      <c r="Z8" s="38">
        <f>(Y8-X8)/X8</f>
        <v>-4.0764331210190368E-3</v>
      </c>
      <c r="AA8" s="55">
        <v>58718.3</v>
      </c>
      <c r="AB8" s="56">
        <v>39309.65</v>
      </c>
      <c r="AC8" s="21">
        <f>(AB8-AA8)/AA8</f>
        <v>-0.33053835005441234</v>
      </c>
      <c r="AD8" s="64">
        <v>4019.9</v>
      </c>
      <c r="AE8" s="65">
        <v>3794.02</v>
      </c>
      <c r="AF8" s="25">
        <f>(AE8-AD8)/AD8</f>
        <v>-5.6190452498818405E-2</v>
      </c>
      <c r="AG8" s="73">
        <v>1727.3</v>
      </c>
      <c r="AH8" s="74">
        <v>1936.39</v>
      </c>
      <c r="AI8" s="29">
        <f>(AH8-AG8)/AG8</f>
        <v>0.12105019394430623</v>
      </c>
      <c r="AJ8" s="82">
        <v>1.1775</v>
      </c>
      <c r="AK8" s="83">
        <v>1.2236</v>
      </c>
      <c r="AL8" s="38">
        <f>(AK8-AJ8)/AJ8</f>
        <v>3.9150743099787715E-2</v>
      </c>
      <c r="AM8" s="55">
        <v>58718.3</v>
      </c>
      <c r="AN8" s="56">
        <v>58987.360000000001</v>
      </c>
      <c r="AO8" s="21">
        <f>(AN8-AM8)/AM8</f>
        <v>4.5822171282206342E-3</v>
      </c>
      <c r="AP8" s="64">
        <v>4019.9</v>
      </c>
      <c r="AQ8" s="65">
        <v>3971.16</v>
      </c>
      <c r="AR8" s="25">
        <f>(AQ8-AP8)/AP8</f>
        <v>-1.2124679718401013E-2</v>
      </c>
      <c r="AS8" s="73">
        <v>1727.3</v>
      </c>
      <c r="AT8" s="74">
        <v>1715.5</v>
      </c>
      <c r="AU8" s="29">
        <f>(AT8-AS8)/AS8</f>
        <v>-6.8314710820355203E-3</v>
      </c>
      <c r="AV8" s="82">
        <v>1.1775</v>
      </c>
      <c r="AW8" s="83">
        <v>1.1721999999999999</v>
      </c>
      <c r="AX8" s="38">
        <f>(AW8-AV8)/AV8</f>
        <v>-4.5010615711253352E-3</v>
      </c>
      <c r="AY8" s="55">
        <v>58718.3</v>
      </c>
      <c r="AZ8" s="56">
        <v>38615.71</v>
      </c>
      <c r="BA8" s="21">
        <f>(AZ8-AY8)/AY8</f>
        <v>-0.34235647149185183</v>
      </c>
      <c r="BB8" s="64">
        <v>4019.9</v>
      </c>
      <c r="BC8" s="65">
        <v>3917.93</v>
      </c>
      <c r="BD8" s="25">
        <f>(BC8-BB8)/BB8</f>
        <v>-2.536630264434445E-2</v>
      </c>
      <c r="BE8" s="73">
        <v>1727.3</v>
      </c>
      <c r="BF8" s="74">
        <v>1989.37</v>
      </c>
      <c r="BG8" s="29">
        <f>(BF8-BE8)/BE8</f>
        <v>0.15172234122619113</v>
      </c>
      <c r="BH8" s="82">
        <v>1.1775</v>
      </c>
      <c r="BI8" s="83">
        <v>1.2282999999999999</v>
      </c>
      <c r="BJ8" s="38">
        <f>(BI8-BH8)/BH8</f>
        <v>4.3142250530785527E-2</v>
      </c>
    </row>
    <row r="9" spans="1:62" x14ac:dyDescent="0.35">
      <c r="A9" s="616"/>
      <c r="B9" s="2" t="s">
        <v>16</v>
      </c>
      <c r="C9" s="52">
        <v>33543.599999999999</v>
      </c>
      <c r="D9" s="87">
        <v>52360.58</v>
      </c>
      <c r="E9" s="20">
        <f t="shared" ref="E9:E26" si="0">(D9-C9)/C9</f>
        <v>0.56097079621746038</v>
      </c>
      <c r="F9" s="61">
        <v>4319.8999999999996</v>
      </c>
      <c r="G9" s="88">
        <v>3839.61</v>
      </c>
      <c r="H9" s="24">
        <f t="shared" ref="H9:H27" si="1">(G9-F9)/F9</f>
        <v>-0.11118081437070292</v>
      </c>
      <c r="I9" s="70">
        <v>1776.8</v>
      </c>
      <c r="J9" s="89">
        <v>1980.93</v>
      </c>
      <c r="K9" s="28">
        <f t="shared" ref="K9:K27" si="2">(J9-I9)/I9</f>
        <v>0.11488631247185958</v>
      </c>
      <c r="L9" s="79">
        <v>1.1848000000000001</v>
      </c>
      <c r="M9" s="90">
        <v>1.2262999999999999</v>
      </c>
      <c r="N9" s="32">
        <f t="shared" ref="N9:N27" si="3">(M9-L9)/L9</f>
        <v>3.502700877785269E-2</v>
      </c>
      <c r="O9" s="52">
        <v>33543.599999999999</v>
      </c>
      <c r="P9" s="87">
        <v>35154.36</v>
      </c>
      <c r="Q9" s="20">
        <f t="shared" ref="Q9:Q27" si="4">(P9-O9)/O9</f>
        <v>4.801989053053346E-2</v>
      </c>
      <c r="R9" s="61">
        <v>4319.8999999999996</v>
      </c>
      <c r="S9" s="88">
        <v>4297.72</v>
      </c>
      <c r="T9" s="24">
        <f t="shared" ref="T9:T27" si="5">(S9-R9)/R9</f>
        <v>-5.134378110604269E-3</v>
      </c>
      <c r="U9" s="70">
        <v>1776.8</v>
      </c>
      <c r="V9" s="89">
        <v>1771.76</v>
      </c>
      <c r="W9" s="28">
        <f t="shared" ref="W9:W27" si="6">(V9-U9)/U9</f>
        <v>-2.8365601080594122E-3</v>
      </c>
      <c r="X9" s="79">
        <v>1.1848000000000001</v>
      </c>
      <c r="Y9" s="90">
        <v>1.1855</v>
      </c>
      <c r="Z9" s="37">
        <f t="shared" ref="Z9:Z14" si="7">(Y9-X9)/X9</f>
        <v>5.9081701552998213E-4</v>
      </c>
      <c r="AA9" s="52">
        <v>33543.599999999999</v>
      </c>
      <c r="AB9" s="87">
        <v>52320.87</v>
      </c>
      <c r="AC9" s="20">
        <f t="shared" ref="AC9:AC27" si="8">(AB9-AA9)/AA9</f>
        <v>0.55978696383214699</v>
      </c>
      <c r="AD9" s="61">
        <v>4319.8999999999996</v>
      </c>
      <c r="AE9" s="88">
        <v>3843</v>
      </c>
      <c r="AF9" s="24">
        <f t="shared" ref="AF9:AF27" si="9">(AE9-AD9)/AD9</f>
        <v>-0.11039607398319398</v>
      </c>
      <c r="AG9" s="70">
        <v>1776.8</v>
      </c>
      <c r="AH9" s="89">
        <v>1978.43</v>
      </c>
      <c r="AI9" s="28">
        <f t="shared" ref="AI9:AI27" si="10">(AH9-AG9)/AG9</f>
        <v>0.11347928860873487</v>
      </c>
      <c r="AJ9" s="79">
        <v>1.1848000000000001</v>
      </c>
      <c r="AK9" s="90">
        <v>1.2257</v>
      </c>
      <c r="AL9" s="37">
        <f t="shared" ref="AL9:AL27" si="11">(AK9-AJ9)/AJ9</f>
        <v>3.4520594193112708E-2</v>
      </c>
      <c r="AM9" s="52">
        <v>33543.599999999999</v>
      </c>
      <c r="AN9" s="87">
        <v>35273.660000000003</v>
      </c>
      <c r="AO9" s="20">
        <f t="shared" ref="AO9:AO27" si="12">(AN9-AM9)/AM9</f>
        <v>5.1576455717335198E-2</v>
      </c>
      <c r="AP9" s="61">
        <v>4319.8999999999996</v>
      </c>
      <c r="AQ9" s="88">
        <v>4298.6099999999997</v>
      </c>
      <c r="AR9" s="24">
        <f t="shared" ref="AR9:AR27" si="13">(AQ9-AP9)/AP9</f>
        <v>-4.9283548230283029E-3</v>
      </c>
      <c r="AS9" s="70">
        <v>1776.8</v>
      </c>
      <c r="AT9" s="89">
        <v>1771.59</v>
      </c>
      <c r="AU9" s="28">
        <f t="shared" ref="AU9:AU27" si="14">(AT9-AS9)/AS9</f>
        <v>-2.9322377307519341E-3</v>
      </c>
      <c r="AV9" s="79">
        <v>1.1848000000000001</v>
      </c>
      <c r="AW9" s="90">
        <v>1.1849000000000001</v>
      </c>
      <c r="AX9" s="37">
        <f t="shared" ref="AX9:AX27" si="15">(AW9-AV9)/AV9</f>
        <v>8.4402430789997447E-5</v>
      </c>
      <c r="AY9" s="52">
        <v>33543.599999999999</v>
      </c>
      <c r="AZ9" s="87">
        <v>49554.71</v>
      </c>
      <c r="BA9" s="20">
        <f t="shared" ref="BA9:BA27" si="16">(AZ9-AY9)/AY9</f>
        <v>0.47732235061233741</v>
      </c>
      <c r="BB9" s="61">
        <v>4319.8999999999996</v>
      </c>
      <c r="BC9" s="88">
        <v>4107.6000000000004</v>
      </c>
      <c r="BD9" s="24">
        <f t="shared" ref="BD9:BD27" si="17">(BC9-BB9)/BB9</f>
        <v>-4.9144656126299056E-2</v>
      </c>
      <c r="BE9" s="70">
        <v>1776.8</v>
      </c>
      <c r="BF9" s="89">
        <v>2064.7800000000002</v>
      </c>
      <c r="BG9" s="28">
        <f t="shared" ref="BG9:BG27" si="18">(BF9-BE9)/BE9</f>
        <v>0.16207789284106272</v>
      </c>
      <c r="BH9" s="79">
        <v>1.1848000000000001</v>
      </c>
      <c r="BI9" s="90">
        <v>1.2362</v>
      </c>
      <c r="BJ9" s="37">
        <f t="shared" ref="BJ9:BJ27" si="19">(BI9-BH9)/BH9</f>
        <v>4.3382849426063373E-2</v>
      </c>
    </row>
    <row r="10" spans="1:62" x14ac:dyDescent="0.35">
      <c r="A10" s="616"/>
      <c r="B10" s="2" t="s">
        <v>17</v>
      </c>
      <c r="C10" s="52">
        <v>48146</v>
      </c>
      <c r="D10" s="87">
        <v>70857.75</v>
      </c>
      <c r="E10" s="20">
        <f t="shared" si="0"/>
        <v>0.47172662318780378</v>
      </c>
      <c r="F10" s="61">
        <v>4357</v>
      </c>
      <c r="G10" s="88">
        <v>3883.54</v>
      </c>
      <c r="H10" s="24">
        <f t="shared" si="1"/>
        <v>-0.10866651365618546</v>
      </c>
      <c r="I10" s="70">
        <v>1757.7</v>
      </c>
      <c r="J10" s="89">
        <v>2025.77</v>
      </c>
      <c r="K10" s="28">
        <f t="shared" si="2"/>
        <v>0.1525118051999772</v>
      </c>
      <c r="L10" s="79">
        <v>1.1594</v>
      </c>
      <c r="M10" s="90">
        <v>1.2287999999999999</v>
      </c>
      <c r="N10" s="32">
        <f t="shared" si="3"/>
        <v>5.9858547524581598E-2</v>
      </c>
      <c r="O10" s="52">
        <v>48146</v>
      </c>
      <c r="P10" s="87">
        <v>43904.76</v>
      </c>
      <c r="Q10" s="20">
        <f t="shared" si="4"/>
        <v>-8.8091222531466742E-2</v>
      </c>
      <c r="R10" s="61">
        <v>4357</v>
      </c>
      <c r="S10" s="88">
        <v>4312.01</v>
      </c>
      <c r="T10" s="24">
        <f t="shared" si="5"/>
        <v>-1.0325912324994212E-2</v>
      </c>
      <c r="U10" s="70">
        <v>1757.7</v>
      </c>
      <c r="V10" s="89">
        <v>1756.18</v>
      </c>
      <c r="W10" s="28">
        <f t="shared" si="6"/>
        <v>-8.6476645616429524E-4</v>
      </c>
      <c r="X10" s="79">
        <v>1.1594</v>
      </c>
      <c r="Y10" s="90">
        <v>1.1579999999999999</v>
      </c>
      <c r="Z10" s="37">
        <f t="shared" si="7"/>
        <v>-1.207521131619862E-3</v>
      </c>
      <c r="AA10" s="52">
        <v>48146</v>
      </c>
      <c r="AB10" s="87">
        <v>70617.490000000005</v>
      </c>
      <c r="AC10" s="20">
        <f t="shared" si="8"/>
        <v>0.46673638516179966</v>
      </c>
      <c r="AD10" s="61">
        <v>4357</v>
      </c>
      <c r="AE10" s="88">
        <v>3897.21</v>
      </c>
      <c r="AF10" s="24">
        <f t="shared" si="9"/>
        <v>-0.1055290337388111</v>
      </c>
      <c r="AG10" s="70">
        <v>1757.7</v>
      </c>
      <c r="AH10" s="89">
        <v>2020.66</v>
      </c>
      <c r="AI10" s="28">
        <f t="shared" si="10"/>
        <v>0.14960459691642489</v>
      </c>
      <c r="AJ10" s="79">
        <v>1.1594</v>
      </c>
      <c r="AK10" s="90">
        <v>1.2274</v>
      </c>
      <c r="AL10" s="37">
        <f t="shared" si="11"/>
        <v>5.8651026392961929E-2</v>
      </c>
      <c r="AM10" s="52">
        <v>48146</v>
      </c>
      <c r="AN10" s="87">
        <v>43750.81</v>
      </c>
      <c r="AO10" s="20">
        <f t="shared" si="12"/>
        <v>-9.1288788269015125E-2</v>
      </c>
      <c r="AP10" s="61">
        <v>4357</v>
      </c>
      <c r="AQ10" s="88">
        <v>4323.62</v>
      </c>
      <c r="AR10" s="24">
        <f t="shared" si="13"/>
        <v>-7.661234794583454E-3</v>
      </c>
      <c r="AS10" s="70">
        <v>1757.7</v>
      </c>
      <c r="AT10" s="89">
        <v>1755.85</v>
      </c>
      <c r="AU10" s="28">
        <f t="shared" si="14"/>
        <v>-1.0525118052000548E-3</v>
      </c>
      <c r="AV10" s="79">
        <v>1.1594</v>
      </c>
      <c r="AW10" s="90">
        <v>1.157</v>
      </c>
      <c r="AX10" s="37">
        <f t="shared" si="15"/>
        <v>-2.0700362256339121E-3</v>
      </c>
      <c r="AY10" s="52">
        <v>48146</v>
      </c>
      <c r="AZ10" s="87">
        <v>58153.93</v>
      </c>
      <c r="BA10" s="20">
        <f t="shared" si="16"/>
        <v>0.2078662817264155</v>
      </c>
      <c r="BB10" s="61">
        <v>4357</v>
      </c>
      <c r="BC10" s="88">
        <v>4335.79</v>
      </c>
      <c r="BD10" s="24">
        <f t="shared" si="17"/>
        <v>-4.868028459949515E-3</v>
      </c>
      <c r="BE10" s="70">
        <v>1757.7</v>
      </c>
      <c r="BF10" s="89">
        <v>2116.5</v>
      </c>
      <c r="BG10" s="28">
        <f t="shared" si="18"/>
        <v>0.20413039767878474</v>
      </c>
      <c r="BH10" s="79">
        <v>1.1594</v>
      </c>
      <c r="BI10" s="90">
        <v>1.2437</v>
      </c>
      <c r="BJ10" s="37">
        <f t="shared" si="19"/>
        <v>7.2710022425392484E-2</v>
      </c>
    </row>
    <row r="11" spans="1:62" ht="15" thickBot="1" x14ac:dyDescent="0.4">
      <c r="A11" s="617"/>
      <c r="B11" s="3" t="s">
        <v>18</v>
      </c>
      <c r="C11" s="53">
        <v>47738</v>
      </c>
      <c r="D11" s="54">
        <v>95889.32</v>
      </c>
      <c r="E11" s="20">
        <f t="shared" si="0"/>
        <v>1.0086580920859693</v>
      </c>
      <c r="F11" s="62">
        <v>4766.2</v>
      </c>
      <c r="G11" s="63">
        <v>3927.98</v>
      </c>
      <c r="H11" s="24">
        <f t="shared" si="1"/>
        <v>-0.17586756745415633</v>
      </c>
      <c r="I11" s="71">
        <v>1828.6</v>
      </c>
      <c r="J11" s="72">
        <v>2071.63</v>
      </c>
      <c r="K11" s="28">
        <f t="shared" si="2"/>
        <v>0.13290495461008434</v>
      </c>
      <c r="L11" s="80">
        <v>1.1368</v>
      </c>
      <c r="M11" s="81">
        <v>1.2313000000000001</v>
      </c>
      <c r="N11" s="32">
        <f t="shared" si="3"/>
        <v>8.3128078817734014E-2</v>
      </c>
      <c r="O11" s="53">
        <v>47738</v>
      </c>
      <c r="P11" s="54">
        <v>46195.17</v>
      </c>
      <c r="Q11" s="20">
        <f t="shared" si="4"/>
        <v>-3.2318697892664158E-2</v>
      </c>
      <c r="R11" s="62">
        <v>4766.2</v>
      </c>
      <c r="S11" s="63">
        <v>4768.13</v>
      </c>
      <c r="T11" s="24">
        <f t="shared" si="5"/>
        <v>4.0493474885659248E-4</v>
      </c>
      <c r="U11" s="71">
        <v>1828.6</v>
      </c>
      <c r="V11" s="72">
        <v>1828.9</v>
      </c>
      <c r="W11" s="28">
        <f t="shared" si="6"/>
        <v>1.6405993656359069E-4</v>
      </c>
      <c r="X11" s="80">
        <v>1.1368</v>
      </c>
      <c r="Y11" s="81">
        <v>1.1367</v>
      </c>
      <c r="Z11" s="37">
        <f t="shared" si="7"/>
        <v>-8.7966220971137389E-5</v>
      </c>
      <c r="AA11" s="53">
        <v>47738</v>
      </c>
      <c r="AB11" s="54">
        <v>94474.99</v>
      </c>
      <c r="AC11" s="20">
        <f t="shared" si="8"/>
        <v>0.97903117013699792</v>
      </c>
      <c r="AD11" s="62">
        <v>4766.2</v>
      </c>
      <c r="AE11" s="63">
        <v>3955.42</v>
      </c>
      <c r="AF11" s="24">
        <f t="shared" si="9"/>
        <v>-0.17011036045486966</v>
      </c>
      <c r="AG11" s="71">
        <v>1828.6</v>
      </c>
      <c r="AH11" s="72">
        <v>2063.94</v>
      </c>
      <c r="AI11" s="28">
        <f t="shared" si="10"/>
        <v>0.12869955156950683</v>
      </c>
      <c r="AJ11" s="80">
        <v>1.1368</v>
      </c>
      <c r="AK11" s="81">
        <v>1.2287999999999999</v>
      </c>
      <c r="AL11" s="37">
        <f t="shared" si="11"/>
        <v>8.0928923293455191E-2</v>
      </c>
      <c r="AM11" s="53">
        <v>47738</v>
      </c>
      <c r="AN11" s="54">
        <v>46410.96</v>
      </c>
      <c r="AO11" s="20">
        <f t="shared" si="12"/>
        <v>-2.7798399597804703E-2</v>
      </c>
      <c r="AP11" s="62">
        <v>4766.2</v>
      </c>
      <c r="AQ11" s="63">
        <v>4771.01</v>
      </c>
      <c r="AR11" s="24">
        <f t="shared" si="13"/>
        <v>1.0091897108808695E-3</v>
      </c>
      <c r="AS11" s="71">
        <v>1828.6</v>
      </c>
      <c r="AT11" s="72">
        <v>1828.95</v>
      </c>
      <c r="AU11" s="28">
        <f t="shared" si="14"/>
        <v>1.9140325932414767E-4</v>
      </c>
      <c r="AV11" s="80">
        <v>1.1368</v>
      </c>
      <c r="AW11" s="81">
        <v>1.1367</v>
      </c>
      <c r="AX11" s="37">
        <f t="shared" si="15"/>
        <v>-8.7966220971137389E-5</v>
      </c>
      <c r="AY11" s="53">
        <v>47738</v>
      </c>
      <c r="AZ11" s="54">
        <v>74102.09</v>
      </c>
      <c r="BA11" s="20">
        <f t="shared" si="16"/>
        <v>0.55226632871088011</v>
      </c>
      <c r="BB11" s="62">
        <v>4766.2</v>
      </c>
      <c r="BC11" s="63">
        <v>4570.12</v>
      </c>
      <c r="BD11" s="24">
        <f t="shared" si="17"/>
        <v>-4.1139691997817952E-2</v>
      </c>
      <c r="BE11" s="71">
        <v>1828.6</v>
      </c>
      <c r="BF11" s="72">
        <v>2162.1799999999998</v>
      </c>
      <c r="BG11" s="28">
        <f t="shared" si="18"/>
        <v>0.18242371212949796</v>
      </c>
      <c r="BH11" s="80">
        <v>1.1368</v>
      </c>
      <c r="BI11" s="81">
        <v>1.2504</v>
      </c>
      <c r="BJ11" s="37">
        <f t="shared" si="19"/>
        <v>9.9929627023223014E-2</v>
      </c>
    </row>
    <row r="12" spans="1:62" x14ac:dyDescent="0.35">
      <c r="A12" s="615" t="s">
        <v>4</v>
      </c>
      <c r="B12" s="1" t="s">
        <v>19</v>
      </c>
      <c r="C12" s="55">
        <v>46297</v>
      </c>
      <c r="D12" s="56">
        <v>61218.13</v>
      </c>
      <c r="E12" s="21">
        <f t="shared" si="0"/>
        <v>0.32229150916906057</v>
      </c>
      <c r="F12" s="64">
        <v>4545.8599999999997</v>
      </c>
      <c r="G12" s="65">
        <v>4831.3500000000004</v>
      </c>
      <c r="H12" s="25">
        <f t="shared" si="1"/>
        <v>6.2802198043934637E-2</v>
      </c>
      <c r="I12" s="73">
        <v>1951.1</v>
      </c>
      <c r="J12" s="74">
        <v>1867.39</v>
      </c>
      <c r="K12" s="29">
        <f t="shared" si="2"/>
        <v>-4.2904002870175699E-2</v>
      </c>
      <c r="L12" s="82">
        <v>1.1052999999999999</v>
      </c>
      <c r="M12" s="83">
        <v>1.1380999999999999</v>
      </c>
      <c r="N12" s="33">
        <f t="shared" si="3"/>
        <v>2.9675201302813665E-2</v>
      </c>
      <c r="O12" s="55">
        <v>46297</v>
      </c>
      <c r="P12" s="56">
        <v>45858.83</v>
      </c>
      <c r="Q12" s="21">
        <f t="shared" si="4"/>
        <v>-9.4643281422122014E-3</v>
      </c>
      <c r="R12" s="64">
        <v>4545.8599999999997</v>
      </c>
      <c r="S12" s="65">
        <v>4539.24</v>
      </c>
      <c r="T12" s="25">
        <f t="shared" si="5"/>
        <v>-1.4562701007069931E-3</v>
      </c>
      <c r="U12" s="73">
        <v>1951.1</v>
      </c>
      <c r="V12" s="74">
        <v>1951.09</v>
      </c>
      <c r="W12" s="29">
        <f t="shared" si="6"/>
        <v>-5.125313925473274E-6</v>
      </c>
      <c r="X12" s="82">
        <v>1.1052999999999999</v>
      </c>
      <c r="Y12" s="83">
        <v>1.1068</v>
      </c>
      <c r="Z12" s="38">
        <f t="shared" si="7"/>
        <v>1.3570976205555568E-3</v>
      </c>
      <c r="AA12" s="55">
        <v>46297</v>
      </c>
      <c r="AB12" s="56">
        <v>60549.41</v>
      </c>
      <c r="AC12" s="21">
        <f t="shared" si="8"/>
        <v>0.30784737671987394</v>
      </c>
      <c r="AD12" s="64">
        <v>4545.8599999999997</v>
      </c>
      <c r="AE12" s="65">
        <v>4831.1099999999997</v>
      </c>
      <c r="AF12" s="25">
        <f t="shared" si="9"/>
        <v>6.2749402753274411E-2</v>
      </c>
      <c r="AG12" s="73">
        <v>1951.1</v>
      </c>
      <c r="AH12" s="74">
        <v>1867.06</v>
      </c>
      <c r="AI12" s="29">
        <f t="shared" si="10"/>
        <v>-4.3073138229716555E-2</v>
      </c>
      <c r="AJ12" s="82">
        <v>1.1052999999999999</v>
      </c>
      <c r="AK12" s="83">
        <v>1.1382000000000001</v>
      </c>
      <c r="AL12" s="38">
        <f t="shared" si="11"/>
        <v>2.9765674477517556E-2</v>
      </c>
      <c r="AM12" s="55">
        <v>46297</v>
      </c>
      <c r="AN12" s="56">
        <v>45706.61</v>
      </c>
      <c r="AO12" s="21">
        <f t="shared" si="12"/>
        <v>-1.2752230166101462E-2</v>
      </c>
      <c r="AP12" s="64">
        <v>4545.8599999999997</v>
      </c>
      <c r="AQ12" s="65">
        <v>4537.47</v>
      </c>
      <c r="AR12" s="25">
        <f t="shared" si="13"/>
        <v>-1.8456353693249283E-3</v>
      </c>
      <c r="AS12" s="73">
        <v>1951.1</v>
      </c>
      <c r="AT12" s="74">
        <v>1950.82</v>
      </c>
      <c r="AU12" s="29">
        <f t="shared" si="14"/>
        <v>-1.435087899133682E-4</v>
      </c>
      <c r="AV12" s="82">
        <v>1.1052999999999999</v>
      </c>
      <c r="AW12" s="83">
        <v>1.1064000000000001</v>
      </c>
      <c r="AX12" s="38">
        <f t="shared" si="15"/>
        <v>9.952049217407952E-4</v>
      </c>
      <c r="AY12" s="55">
        <v>46297</v>
      </c>
      <c r="AZ12" s="56">
        <v>55687.62</v>
      </c>
      <c r="BA12" s="21">
        <f t="shared" si="16"/>
        <v>0.20283430891850449</v>
      </c>
      <c r="BB12" s="64">
        <v>4545.8599999999997</v>
      </c>
      <c r="BC12" s="65">
        <v>4982.2</v>
      </c>
      <c r="BD12" s="25">
        <f t="shared" si="17"/>
        <v>9.5986238027567977E-2</v>
      </c>
      <c r="BE12" s="73">
        <v>1951.1</v>
      </c>
      <c r="BF12" s="74">
        <v>1862.49</v>
      </c>
      <c r="BG12" s="29">
        <f t="shared" si="18"/>
        <v>-4.541540669365994E-2</v>
      </c>
      <c r="BH12" s="82">
        <v>1.1052999999999999</v>
      </c>
      <c r="BI12" s="83">
        <v>1.139</v>
      </c>
      <c r="BJ12" s="38">
        <f t="shared" si="19"/>
        <v>3.0489459875147076E-2</v>
      </c>
    </row>
    <row r="13" spans="1:62" x14ac:dyDescent="0.35">
      <c r="A13" s="616"/>
      <c r="B13" s="2" t="s">
        <v>20</v>
      </c>
      <c r="C13" s="52">
        <v>19262.900000000001</v>
      </c>
      <c r="D13" s="87">
        <v>81272.17</v>
      </c>
      <c r="E13" s="20">
        <f t="shared" si="0"/>
        <v>3.2191035617689958</v>
      </c>
      <c r="F13" s="61">
        <v>3825.33</v>
      </c>
      <c r="G13" s="88">
        <v>4896.72</v>
      </c>
      <c r="H13" s="24">
        <f t="shared" si="1"/>
        <v>0.28007779720965259</v>
      </c>
      <c r="I13" s="70">
        <v>1807.3</v>
      </c>
      <c r="J13" s="89">
        <v>1907.09</v>
      </c>
      <c r="K13" s="28">
        <f t="shared" si="2"/>
        <v>5.5214961544845884E-2</v>
      </c>
      <c r="L13" s="79">
        <v>1.0427999999999999</v>
      </c>
      <c r="M13" s="90">
        <v>1.1393</v>
      </c>
      <c r="N13" s="32">
        <f t="shared" si="3"/>
        <v>9.2539317222861558E-2</v>
      </c>
      <c r="O13" s="52">
        <v>19262.900000000001</v>
      </c>
      <c r="P13" s="87">
        <v>19991.560000000001</v>
      </c>
      <c r="Q13" s="20">
        <f t="shared" si="4"/>
        <v>3.7827118450492907E-2</v>
      </c>
      <c r="R13" s="61">
        <v>3825.33</v>
      </c>
      <c r="S13" s="88">
        <v>3787.62</v>
      </c>
      <c r="T13" s="24">
        <f t="shared" si="5"/>
        <v>-9.8579730376202931E-3</v>
      </c>
      <c r="U13" s="70">
        <v>1807.3</v>
      </c>
      <c r="V13" s="89">
        <v>1807.85</v>
      </c>
      <c r="W13" s="28">
        <f t="shared" si="6"/>
        <v>3.043213633596827E-4</v>
      </c>
      <c r="X13" s="79">
        <v>1.0427999999999999</v>
      </c>
      <c r="Y13" s="90">
        <v>1.0479000000000001</v>
      </c>
      <c r="Z13" s="37">
        <f t="shared" si="7"/>
        <v>4.8906789413119527E-3</v>
      </c>
      <c r="AA13" s="52">
        <v>19262.900000000001</v>
      </c>
      <c r="AB13" s="87">
        <v>79741.679999999993</v>
      </c>
      <c r="AC13" s="20">
        <f t="shared" si="8"/>
        <v>3.1396508313909113</v>
      </c>
      <c r="AD13" s="61">
        <v>3825.33</v>
      </c>
      <c r="AE13" s="88">
        <v>4890.1000000000004</v>
      </c>
      <c r="AF13" s="24">
        <f t="shared" si="9"/>
        <v>0.27834722755945251</v>
      </c>
      <c r="AG13" s="70">
        <v>1807.3</v>
      </c>
      <c r="AH13" s="89">
        <v>1906.97</v>
      </c>
      <c r="AI13" s="28">
        <f t="shared" si="10"/>
        <v>5.5148564156476551E-2</v>
      </c>
      <c r="AJ13" s="79">
        <v>1.0427999999999999</v>
      </c>
      <c r="AK13" s="90">
        <v>1.1384000000000001</v>
      </c>
      <c r="AL13" s="37">
        <f t="shared" si="11"/>
        <v>9.1676256233218387E-2</v>
      </c>
      <c r="AM13" s="52">
        <v>19262.900000000001</v>
      </c>
      <c r="AN13" s="87">
        <v>19909.41</v>
      </c>
      <c r="AO13" s="20">
        <f t="shared" si="12"/>
        <v>3.3562443868783952E-2</v>
      </c>
      <c r="AP13" s="61">
        <v>3825.33</v>
      </c>
      <c r="AQ13" s="88">
        <v>3786.85</v>
      </c>
      <c r="AR13" s="24">
        <f t="shared" si="13"/>
        <v>-1.0059262860981933E-2</v>
      </c>
      <c r="AS13" s="70">
        <v>1807.3</v>
      </c>
      <c r="AT13" s="89">
        <v>1807.93</v>
      </c>
      <c r="AU13" s="28">
        <f t="shared" si="14"/>
        <v>3.4858628893936214E-4</v>
      </c>
      <c r="AV13" s="79">
        <v>1.0427999999999999</v>
      </c>
      <c r="AW13" s="90">
        <v>1.0486</v>
      </c>
      <c r="AX13" s="37">
        <f t="shared" si="15"/>
        <v>5.5619485999233104E-3</v>
      </c>
      <c r="AY13" s="52">
        <v>19262.900000000001</v>
      </c>
      <c r="AZ13" s="87">
        <v>67559.95</v>
      </c>
      <c r="BA13" s="20">
        <f t="shared" si="16"/>
        <v>2.5072574742120861</v>
      </c>
      <c r="BB13" s="61">
        <v>3825.33</v>
      </c>
      <c r="BC13" s="88">
        <v>5243.09</v>
      </c>
      <c r="BD13" s="24">
        <f t="shared" si="17"/>
        <v>0.37062423372624065</v>
      </c>
      <c r="BE13" s="70">
        <v>1807.3</v>
      </c>
      <c r="BF13" s="89">
        <v>1892.46</v>
      </c>
      <c r="BG13" s="28">
        <f t="shared" si="18"/>
        <v>4.7120013279477721E-2</v>
      </c>
      <c r="BH13" s="79">
        <v>1.0427999999999999</v>
      </c>
      <c r="BI13" s="90">
        <v>1.1371</v>
      </c>
      <c r="BJ13" s="37">
        <f t="shared" si="19"/>
        <v>9.0429612581511373E-2</v>
      </c>
    </row>
    <row r="14" spans="1:62" x14ac:dyDescent="0.35">
      <c r="A14" s="616"/>
      <c r="B14" s="2" t="s">
        <v>21</v>
      </c>
      <c r="C14" s="52">
        <v>19311.900000000001</v>
      </c>
      <c r="D14" s="87">
        <v>108232.08</v>
      </c>
      <c r="E14" s="20">
        <f t="shared" si="0"/>
        <v>4.604424215121246</v>
      </c>
      <c r="F14" s="61">
        <v>3585.62</v>
      </c>
      <c r="G14" s="88">
        <v>4963.71</v>
      </c>
      <c r="H14" s="24">
        <f t="shared" si="1"/>
        <v>0.38433799454487655</v>
      </c>
      <c r="I14" s="70">
        <v>1663.6</v>
      </c>
      <c r="J14" s="89">
        <v>1948.08</v>
      </c>
      <c r="K14" s="28">
        <f t="shared" si="2"/>
        <v>0.17100264486655448</v>
      </c>
      <c r="L14" s="79">
        <v>0.97989999999999999</v>
      </c>
      <c r="M14" s="90">
        <v>1.1406000000000001</v>
      </c>
      <c r="N14" s="32">
        <f t="shared" si="3"/>
        <v>0.16399632615573023</v>
      </c>
      <c r="O14" s="52">
        <v>19311.900000000001</v>
      </c>
      <c r="P14" s="87">
        <v>19471.509999999998</v>
      </c>
      <c r="Q14" s="20">
        <f t="shared" si="4"/>
        <v>8.2648522413639736E-3</v>
      </c>
      <c r="R14" s="61">
        <v>3585.62</v>
      </c>
      <c r="S14" s="88">
        <v>3592.93</v>
      </c>
      <c r="T14" s="24">
        <f t="shared" si="5"/>
        <v>2.0386990255520511E-3</v>
      </c>
      <c r="U14" s="70">
        <v>1663.6</v>
      </c>
      <c r="V14" s="89">
        <v>1663.93</v>
      </c>
      <c r="W14" s="28">
        <f t="shared" si="6"/>
        <v>1.9836499158460845E-4</v>
      </c>
      <c r="X14" s="79">
        <v>0.97989999999999999</v>
      </c>
      <c r="Y14" s="90">
        <v>0.98019999999999996</v>
      </c>
      <c r="Z14" s="37">
        <f t="shared" si="7"/>
        <v>3.0615368915192057E-4</v>
      </c>
      <c r="AA14" s="52">
        <v>19311.900000000001</v>
      </c>
      <c r="AB14" s="87">
        <v>103914.82</v>
      </c>
      <c r="AC14" s="20">
        <f t="shared" si="8"/>
        <v>4.3808698263764834</v>
      </c>
      <c r="AD14" s="61">
        <v>3585.62</v>
      </c>
      <c r="AE14" s="88">
        <v>4955.55</v>
      </c>
      <c r="AF14" s="24">
        <f t="shared" si="9"/>
        <v>0.38206223749309753</v>
      </c>
      <c r="AG14" s="70">
        <v>1663.6</v>
      </c>
      <c r="AH14" s="89">
        <v>1945.91</v>
      </c>
      <c r="AI14" s="28">
        <f t="shared" si="10"/>
        <v>0.16969824477037762</v>
      </c>
      <c r="AJ14" s="79">
        <v>0.97989999999999999</v>
      </c>
      <c r="AK14" s="90">
        <v>1.1389</v>
      </c>
      <c r="AL14" s="37">
        <f t="shared" si="11"/>
        <v>0.16226145525053581</v>
      </c>
      <c r="AM14" s="52">
        <v>19311.900000000001</v>
      </c>
      <c r="AN14" s="87">
        <v>19388.490000000002</v>
      </c>
      <c r="AO14" s="20">
        <f t="shared" si="12"/>
        <v>3.965948456651088E-3</v>
      </c>
      <c r="AP14" s="61">
        <v>3585.62</v>
      </c>
      <c r="AQ14" s="88">
        <v>3593.35</v>
      </c>
      <c r="AR14" s="24">
        <f t="shared" si="13"/>
        <v>2.1558335796877581E-3</v>
      </c>
      <c r="AS14" s="70">
        <v>1663.6</v>
      </c>
      <c r="AT14" s="89">
        <v>1662.95</v>
      </c>
      <c r="AU14" s="28">
        <f t="shared" si="14"/>
        <v>-3.9071892281790312E-4</v>
      </c>
      <c r="AV14" s="79">
        <v>0.97989999999999999</v>
      </c>
      <c r="AW14" s="90">
        <v>0.9798</v>
      </c>
      <c r="AX14" s="37">
        <f t="shared" si="15"/>
        <v>-1.0205122971730685E-4</v>
      </c>
      <c r="AY14" s="52">
        <v>19311.900000000001</v>
      </c>
      <c r="AZ14" s="87">
        <v>72169.69</v>
      </c>
      <c r="BA14" s="20">
        <f t="shared" si="16"/>
        <v>2.7370579797948413</v>
      </c>
      <c r="BB14" s="61">
        <v>3585.62</v>
      </c>
      <c r="BC14" s="88">
        <v>5363.7</v>
      </c>
      <c r="BD14" s="24">
        <f t="shared" si="17"/>
        <v>0.49589192385138414</v>
      </c>
      <c r="BE14" s="70">
        <v>1663.6</v>
      </c>
      <c r="BF14" s="89">
        <v>1867.68</v>
      </c>
      <c r="BG14" s="28">
        <f t="shared" si="18"/>
        <v>0.12267371964414532</v>
      </c>
      <c r="BH14" s="79">
        <v>0.97989999999999999</v>
      </c>
      <c r="BI14" s="90">
        <v>1.1193</v>
      </c>
      <c r="BJ14" s="37">
        <f t="shared" si="19"/>
        <v>0.14225941422594141</v>
      </c>
    </row>
    <row r="15" spans="1:62" ht="15" thickBot="1" x14ac:dyDescent="0.4">
      <c r="A15" s="617"/>
      <c r="B15" s="3" t="s">
        <v>22</v>
      </c>
      <c r="C15" s="53">
        <v>16618.400000000001</v>
      </c>
      <c r="D15" s="54">
        <v>144135.22</v>
      </c>
      <c r="E15" s="20">
        <f t="shared" si="0"/>
        <v>7.6732308766186872</v>
      </c>
      <c r="F15" s="62">
        <v>3839.5</v>
      </c>
      <c r="G15" s="63">
        <v>5031.62</v>
      </c>
      <c r="H15" s="24">
        <f t="shared" si="1"/>
        <v>0.31048834483656723</v>
      </c>
      <c r="I15" s="71">
        <v>1826</v>
      </c>
      <c r="J15" s="72">
        <v>1989.96</v>
      </c>
      <c r="K15" s="28">
        <f t="shared" si="2"/>
        <v>8.9791894852135831E-2</v>
      </c>
      <c r="L15" s="80">
        <v>1.0702</v>
      </c>
      <c r="M15" s="81">
        <v>1.1418999999999999</v>
      </c>
      <c r="N15" s="32">
        <f t="shared" si="3"/>
        <v>6.6996823023733762E-2</v>
      </c>
      <c r="O15" s="53">
        <v>16618.400000000001</v>
      </c>
      <c r="P15" s="54">
        <v>16573.54</v>
      </c>
      <c r="Q15" s="20">
        <f t="shared" si="4"/>
        <v>-2.6994175131180246E-3</v>
      </c>
      <c r="R15" s="62">
        <v>3839.5</v>
      </c>
      <c r="S15" s="63">
        <v>3841.19</v>
      </c>
      <c r="T15" s="24">
        <f t="shared" si="5"/>
        <v>4.4016147935930578E-4</v>
      </c>
      <c r="U15" s="71">
        <v>1826</v>
      </c>
      <c r="V15" s="72">
        <v>1826.4</v>
      </c>
      <c r="W15" s="28">
        <f t="shared" si="6"/>
        <v>2.1905805038340139E-4</v>
      </c>
      <c r="X15" s="80">
        <v>1.0702</v>
      </c>
      <c r="Y15" s="81">
        <v>1.0703</v>
      </c>
      <c r="Z15" s="37">
        <f>(Y15-X15)/X15</f>
        <v>9.3440478415239187E-5</v>
      </c>
      <c r="AA15" s="53">
        <v>16618.400000000001</v>
      </c>
      <c r="AB15" s="54">
        <v>132818.15</v>
      </c>
      <c r="AC15" s="20">
        <f t="shared" si="8"/>
        <v>6.9922345111442734</v>
      </c>
      <c r="AD15" s="62">
        <v>3839.5</v>
      </c>
      <c r="AE15" s="63">
        <v>4996.2</v>
      </c>
      <c r="AF15" s="24">
        <f t="shared" si="9"/>
        <v>0.30126318531058727</v>
      </c>
      <c r="AG15" s="71">
        <v>1826</v>
      </c>
      <c r="AH15" s="72">
        <v>1984.99</v>
      </c>
      <c r="AI15" s="28">
        <f t="shared" si="10"/>
        <v>8.7070098576122676E-2</v>
      </c>
      <c r="AJ15" s="80">
        <v>1.0702</v>
      </c>
      <c r="AK15" s="81">
        <v>1.1385000000000001</v>
      </c>
      <c r="AL15" s="37">
        <f t="shared" si="11"/>
        <v>6.3819846757615428E-2</v>
      </c>
      <c r="AM15" s="53">
        <v>16618.400000000001</v>
      </c>
      <c r="AN15" s="54">
        <v>16519.599999999999</v>
      </c>
      <c r="AO15" s="20">
        <f t="shared" si="12"/>
        <v>-5.9452173494441646E-3</v>
      </c>
      <c r="AP15" s="62">
        <v>3839.5</v>
      </c>
      <c r="AQ15" s="63">
        <v>3842.8</v>
      </c>
      <c r="AR15" s="24">
        <f t="shared" si="13"/>
        <v>8.5948691235842732E-4</v>
      </c>
      <c r="AS15" s="71">
        <v>1826</v>
      </c>
      <c r="AT15" s="72">
        <v>1825.97</v>
      </c>
      <c r="AU15" s="28">
        <f t="shared" si="14"/>
        <v>-1.6429353778736427E-5</v>
      </c>
      <c r="AV15" s="80">
        <v>1.0702</v>
      </c>
      <c r="AW15" s="81">
        <v>1.0697000000000001</v>
      </c>
      <c r="AX15" s="37">
        <f t="shared" si="15"/>
        <v>-4.6720239207619595E-4</v>
      </c>
      <c r="AY15" s="53">
        <v>16618.400000000001</v>
      </c>
      <c r="AZ15" s="54">
        <v>68039.710000000006</v>
      </c>
      <c r="BA15" s="20">
        <f t="shared" si="16"/>
        <v>3.0942395176430946</v>
      </c>
      <c r="BB15" s="62">
        <v>3839.5</v>
      </c>
      <c r="BC15" s="63">
        <v>5426</v>
      </c>
      <c r="BD15" s="24">
        <f t="shared" si="17"/>
        <v>0.41320484438077876</v>
      </c>
      <c r="BE15" s="71">
        <v>1826</v>
      </c>
      <c r="BF15" s="72">
        <v>1841.81</v>
      </c>
      <c r="BG15" s="28">
        <f t="shared" si="18"/>
        <v>8.6582694414019425E-3</v>
      </c>
      <c r="BH15" s="80">
        <v>1.0702</v>
      </c>
      <c r="BI15" s="81">
        <v>1.0961000000000001</v>
      </c>
      <c r="BJ15" s="37">
        <f t="shared" si="19"/>
        <v>2.4201083909549649E-2</v>
      </c>
    </row>
    <row r="16" spans="1:62" x14ac:dyDescent="0.35">
      <c r="A16" s="615" t="s">
        <v>5</v>
      </c>
      <c r="B16" s="1" t="s">
        <v>23</v>
      </c>
      <c r="C16" s="55">
        <v>28456.1</v>
      </c>
      <c r="D16" s="56">
        <v>21036.2</v>
      </c>
      <c r="E16" s="21">
        <f t="shared" si="0"/>
        <v>-0.26074901339255901</v>
      </c>
      <c r="F16" s="64">
        <v>4109.3100000000004</v>
      </c>
      <c r="G16" s="65">
        <v>3881.18</v>
      </c>
      <c r="H16" s="25">
        <f t="shared" si="1"/>
        <v>-5.5515402829185566E-2</v>
      </c>
      <c r="I16" s="73">
        <v>1988.5</v>
      </c>
      <c r="J16" s="74">
        <v>1863.02</v>
      </c>
      <c r="K16" s="29">
        <f t="shared" si="2"/>
        <v>-6.3102841337691742E-2</v>
      </c>
      <c r="L16" s="82">
        <v>1.0839000000000001</v>
      </c>
      <c r="M16" s="83">
        <v>1.0707</v>
      </c>
      <c r="N16" s="33">
        <f t="shared" si="3"/>
        <v>-1.2178245225574407E-2</v>
      </c>
      <c r="O16" s="55">
        <v>28456.1</v>
      </c>
      <c r="P16" s="56">
        <v>28538.720000000001</v>
      </c>
      <c r="Q16" s="21">
        <f t="shared" si="4"/>
        <v>2.9034196534311668E-3</v>
      </c>
      <c r="R16" s="64">
        <v>4109.3100000000004</v>
      </c>
      <c r="S16" s="65">
        <v>4105.2</v>
      </c>
      <c r="T16" s="25">
        <f t="shared" si="5"/>
        <v>-1.0001679114013257E-3</v>
      </c>
      <c r="U16" s="73">
        <v>1988.5</v>
      </c>
      <c r="V16" s="74">
        <v>1988.27</v>
      </c>
      <c r="W16" s="29">
        <f t="shared" si="6"/>
        <v>-1.1566507417652411E-4</v>
      </c>
      <c r="X16" s="82">
        <v>1.0839000000000001</v>
      </c>
      <c r="Y16" s="83">
        <v>1.0840000000000001</v>
      </c>
      <c r="Z16" s="33">
        <f t="shared" ref="Z16:Z27" si="20">(Y16-X16)/X16</f>
        <v>9.2259433527067976E-5</v>
      </c>
      <c r="AA16" s="55">
        <v>28456.1</v>
      </c>
      <c r="AB16" s="56">
        <v>21232.53</v>
      </c>
      <c r="AC16" s="21">
        <f t="shared" si="8"/>
        <v>-0.25384961396677691</v>
      </c>
      <c r="AD16" s="64">
        <v>4109.3100000000004</v>
      </c>
      <c r="AE16" s="65">
        <v>3874.08</v>
      </c>
      <c r="AF16" s="25">
        <f t="shared" si="9"/>
        <v>-5.7243186812384668E-2</v>
      </c>
      <c r="AG16" s="73">
        <v>1988.5</v>
      </c>
      <c r="AH16" s="74">
        <v>1862.53</v>
      </c>
      <c r="AI16" s="29">
        <f t="shared" si="10"/>
        <v>-6.3349258234850409E-2</v>
      </c>
      <c r="AJ16" s="82">
        <v>1.0839000000000001</v>
      </c>
      <c r="AK16" s="83">
        <v>1.0709</v>
      </c>
      <c r="AL16" s="33">
        <f t="shared" si="11"/>
        <v>-1.199372635852027E-2</v>
      </c>
      <c r="AM16" s="55">
        <v>28456.1</v>
      </c>
      <c r="AN16" s="56">
        <v>28422.71</v>
      </c>
      <c r="AO16" s="21">
        <f t="shared" si="12"/>
        <v>-1.1733863740990304E-3</v>
      </c>
      <c r="AP16" s="64">
        <v>4109.3100000000004</v>
      </c>
      <c r="AQ16" s="65">
        <v>4107.01</v>
      </c>
      <c r="AR16" s="25">
        <f t="shared" si="13"/>
        <v>-5.5970467061384555E-4</v>
      </c>
      <c r="AS16" s="73">
        <v>1988.5</v>
      </c>
      <c r="AT16" s="74">
        <v>1985.48</v>
      </c>
      <c r="AU16" s="29">
        <f t="shared" si="14"/>
        <v>-1.5187327131003178E-3</v>
      </c>
      <c r="AV16" s="82">
        <v>1.0839000000000001</v>
      </c>
      <c r="AW16" s="83">
        <v>1.0834999999999999</v>
      </c>
      <c r="AX16" s="33">
        <f t="shared" si="15"/>
        <v>-3.6903773410847676E-4</v>
      </c>
      <c r="AY16" s="55">
        <v>28456.1</v>
      </c>
      <c r="AZ16" s="56">
        <v>15127.29</v>
      </c>
      <c r="BA16" s="21">
        <f t="shared" si="16"/>
        <v>-0.4683990427360038</v>
      </c>
      <c r="BB16" s="64">
        <v>4109.3100000000004</v>
      </c>
      <c r="BC16" s="65">
        <v>3856.45</v>
      </c>
      <c r="BD16" s="25">
        <f t="shared" si="17"/>
        <v>-6.1533444787567879E-2</v>
      </c>
      <c r="BE16" s="73">
        <v>1988.5</v>
      </c>
      <c r="BF16" s="74">
        <v>1827.48</v>
      </c>
      <c r="BG16" s="29">
        <f t="shared" si="18"/>
        <v>-8.097560975609755E-2</v>
      </c>
      <c r="BH16" s="82">
        <v>1.0839000000000001</v>
      </c>
      <c r="BI16" s="83">
        <v>1.0532999999999999</v>
      </c>
      <c r="BJ16" s="38">
        <f t="shared" si="19"/>
        <v>-2.8231386659286078E-2</v>
      </c>
    </row>
    <row r="17" spans="1:62" x14ac:dyDescent="0.35">
      <c r="A17" s="616"/>
      <c r="B17" s="2" t="s">
        <v>24</v>
      </c>
      <c r="C17" s="52">
        <v>30586.799999999999</v>
      </c>
      <c r="D17" s="87">
        <v>26742.12</v>
      </c>
      <c r="E17" s="20">
        <f t="shared" si="0"/>
        <v>-0.12569735964533721</v>
      </c>
      <c r="F17" s="61">
        <v>4450.38</v>
      </c>
      <c r="G17" s="88">
        <v>3922.19</v>
      </c>
      <c r="H17" s="24">
        <f t="shared" si="1"/>
        <v>-0.11868424718788059</v>
      </c>
      <c r="I17" s="70">
        <v>1917.9</v>
      </c>
      <c r="J17" s="89">
        <v>1900.8</v>
      </c>
      <c r="K17" s="28">
        <f t="shared" si="2"/>
        <v>-8.9160018770530966E-3</v>
      </c>
      <c r="L17" s="79">
        <v>1.091</v>
      </c>
      <c r="M17" s="90">
        <v>1.0711999999999999</v>
      </c>
      <c r="N17" s="32">
        <f t="shared" si="3"/>
        <v>-1.81484876260312E-2</v>
      </c>
      <c r="O17" s="52">
        <v>30586.799999999999</v>
      </c>
      <c r="P17" s="87">
        <v>30549.919999999998</v>
      </c>
      <c r="Q17" s="20">
        <f t="shared" si="4"/>
        <v>-1.2057488851400283E-3</v>
      </c>
      <c r="R17" s="61">
        <v>4450.38</v>
      </c>
      <c r="S17" s="88">
        <v>4445.8900000000003</v>
      </c>
      <c r="T17" s="24">
        <f t="shared" si="5"/>
        <v>-1.0089026105635432E-3</v>
      </c>
      <c r="U17" s="70">
        <v>1917.9</v>
      </c>
      <c r="V17" s="89">
        <v>1918.35</v>
      </c>
      <c r="W17" s="28">
        <f t="shared" si="6"/>
        <v>2.3463162834340585E-4</v>
      </c>
      <c r="X17" s="79">
        <v>1.091</v>
      </c>
      <c r="Y17" s="90">
        <v>1.0908</v>
      </c>
      <c r="Z17" s="32">
        <f t="shared" si="20"/>
        <v>-1.8331805682857743E-4</v>
      </c>
      <c r="AA17" s="52">
        <v>30586.799999999999</v>
      </c>
      <c r="AB17" s="87">
        <v>27310.98</v>
      </c>
      <c r="AC17" s="20">
        <f t="shared" si="8"/>
        <v>-0.10709914080583781</v>
      </c>
      <c r="AD17" s="61">
        <v>4450.38</v>
      </c>
      <c r="AE17" s="88">
        <v>3917.3</v>
      </c>
      <c r="AF17" s="24">
        <f t="shared" si="9"/>
        <v>-0.11978302976375049</v>
      </c>
      <c r="AG17" s="70">
        <v>1917.9</v>
      </c>
      <c r="AH17" s="89">
        <v>1901.01</v>
      </c>
      <c r="AI17" s="28">
        <f t="shared" si="10"/>
        <v>-8.8065071171594452E-3</v>
      </c>
      <c r="AJ17" s="79">
        <v>1.091</v>
      </c>
      <c r="AK17" s="90">
        <v>1.0712999999999999</v>
      </c>
      <c r="AL17" s="32">
        <f t="shared" si="11"/>
        <v>-1.8056828597616911E-2</v>
      </c>
      <c r="AM17" s="52">
        <v>30586.799999999999</v>
      </c>
      <c r="AN17" s="87">
        <v>30468.25</v>
      </c>
      <c r="AO17" s="20">
        <f t="shared" si="12"/>
        <v>-3.8758549439627315E-3</v>
      </c>
      <c r="AP17" s="61">
        <v>4450.38</v>
      </c>
      <c r="AQ17" s="88">
        <v>4449.25</v>
      </c>
      <c r="AR17" s="24">
        <f t="shared" si="13"/>
        <v>-2.5391090199041637E-4</v>
      </c>
      <c r="AS17" s="70">
        <v>1917.9</v>
      </c>
      <c r="AT17" s="89">
        <v>1918.81</v>
      </c>
      <c r="AU17" s="28">
        <f t="shared" si="14"/>
        <v>4.7447729287233663E-4</v>
      </c>
      <c r="AV17" s="79">
        <v>1.091</v>
      </c>
      <c r="AW17" s="90">
        <v>1.091</v>
      </c>
      <c r="AX17" s="32">
        <f t="shared" si="15"/>
        <v>0</v>
      </c>
      <c r="AY17" s="52">
        <v>30586.799999999999</v>
      </c>
      <c r="AZ17" s="87">
        <v>14090.44</v>
      </c>
      <c r="BA17" s="20">
        <f t="shared" si="16"/>
        <v>-0.53932938391724539</v>
      </c>
      <c r="BB17" s="61">
        <v>4450.38</v>
      </c>
      <c r="BC17" s="88">
        <v>3858.16</v>
      </c>
      <c r="BD17" s="24">
        <f t="shared" si="17"/>
        <v>-0.13307178263429195</v>
      </c>
      <c r="BE17" s="70">
        <v>1917.9</v>
      </c>
      <c r="BF17" s="89">
        <v>1849.97</v>
      </c>
      <c r="BG17" s="28">
        <f t="shared" si="18"/>
        <v>-3.5418947807497818E-2</v>
      </c>
      <c r="BH17" s="79">
        <v>1.091</v>
      </c>
      <c r="BI17" s="90">
        <v>1.0405</v>
      </c>
      <c r="BJ17" s="37">
        <f t="shared" si="19"/>
        <v>-4.6287809349220888E-2</v>
      </c>
    </row>
    <row r="18" spans="1:62" x14ac:dyDescent="0.35">
      <c r="A18" s="616"/>
      <c r="B18" s="2" t="s">
        <v>25</v>
      </c>
      <c r="C18" s="52">
        <v>27974.5</v>
      </c>
      <c r="D18" s="87">
        <v>34085.5</v>
      </c>
      <c r="E18" s="20">
        <f t="shared" si="0"/>
        <v>0.21844894457452321</v>
      </c>
      <c r="F18" s="61">
        <v>4288.05</v>
      </c>
      <c r="G18" s="88">
        <v>3964.1</v>
      </c>
      <c r="H18" s="24">
        <f t="shared" si="1"/>
        <v>-7.5547160131061969E-2</v>
      </c>
      <c r="I18" s="70">
        <v>1869.5</v>
      </c>
      <c r="J18" s="89">
        <v>1939.78</v>
      </c>
      <c r="K18" s="28">
        <f t="shared" si="2"/>
        <v>3.7592939288579819E-2</v>
      </c>
      <c r="L18" s="79">
        <v>1.0569999999999999</v>
      </c>
      <c r="M18" s="90">
        <v>1.0716000000000001</v>
      </c>
      <c r="N18" s="32">
        <f t="shared" si="3"/>
        <v>1.381267738883649E-2</v>
      </c>
      <c r="O18" s="52">
        <v>27974.5</v>
      </c>
      <c r="P18" s="87">
        <v>27044.13</v>
      </c>
      <c r="Q18" s="20">
        <f t="shared" si="4"/>
        <v>-3.3257788342955154E-2</v>
      </c>
      <c r="R18" s="61">
        <v>4288.05</v>
      </c>
      <c r="S18" s="88">
        <v>4289.28</v>
      </c>
      <c r="T18" s="24">
        <f t="shared" si="5"/>
        <v>2.8684367019963933E-4</v>
      </c>
      <c r="U18" s="70">
        <v>1869.5</v>
      </c>
      <c r="V18" s="89">
        <v>1869.9</v>
      </c>
      <c r="W18" s="28">
        <f t="shared" si="6"/>
        <v>2.139609521262856E-4</v>
      </c>
      <c r="X18" s="79">
        <v>1.0569999999999999</v>
      </c>
      <c r="Y18" s="90">
        <v>1.0570999999999999</v>
      </c>
      <c r="Z18" s="32">
        <f t="shared" si="20"/>
        <v>9.4607379375580888E-5</v>
      </c>
      <c r="AA18" s="52">
        <v>27974.5</v>
      </c>
      <c r="AB18" s="87">
        <v>35189.949999999997</v>
      </c>
      <c r="AC18" s="20">
        <f t="shared" si="8"/>
        <v>0.25792954297663934</v>
      </c>
      <c r="AD18" s="61">
        <v>4288.05</v>
      </c>
      <c r="AE18" s="88">
        <v>3968.35</v>
      </c>
      <c r="AF18" s="24">
        <f t="shared" si="9"/>
        <v>-7.4556033628339277E-2</v>
      </c>
      <c r="AG18" s="70">
        <v>1869.5</v>
      </c>
      <c r="AH18" s="89">
        <v>1940.1</v>
      </c>
      <c r="AI18" s="28">
        <f t="shared" si="10"/>
        <v>3.7764108050280777E-2</v>
      </c>
      <c r="AJ18" s="79">
        <v>1.0569999999999999</v>
      </c>
      <c r="AK18" s="90">
        <v>1.0722</v>
      </c>
      <c r="AL18" s="32">
        <f t="shared" si="11"/>
        <v>1.4380321665089974E-2</v>
      </c>
      <c r="AM18" s="52">
        <v>27974.5</v>
      </c>
      <c r="AN18" s="87">
        <v>26927.06</v>
      </c>
      <c r="AO18" s="20">
        <f t="shared" si="12"/>
        <v>-3.7442671003949976E-2</v>
      </c>
      <c r="AP18" s="61">
        <v>4288.05</v>
      </c>
      <c r="AQ18" s="88">
        <v>4292.1099999999997</v>
      </c>
      <c r="AR18" s="24">
        <f t="shared" si="13"/>
        <v>9.4681731789496174E-4</v>
      </c>
      <c r="AS18" s="70">
        <v>1869.5</v>
      </c>
      <c r="AT18" s="89">
        <v>1873.08</v>
      </c>
      <c r="AU18" s="28">
        <f t="shared" si="14"/>
        <v>1.9149505215297819E-3</v>
      </c>
      <c r="AV18" s="79">
        <v>1.0569999999999999</v>
      </c>
      <c r="AW18" s="90">
        <v>1.0569</v>
      </c>
      <c r="AX18" s="32">
        <f t="shared" si="15"/>
        <v>-9.4607379375580888E-5</v>
      </c>
      <c r="AY18" s="52">
        <v>27974.5</v>
      </c>
      <c r="AZ18" s="87">
        <v>13445.56</v>
      </c>
      <c r="BA18" s="20">
        <f t="shared" si="16"/>
        <v>-0.51936370623246175</v>
      </c>
      <c r="BB18" s="61">
        <v>4288.05</v>
      </c>
      <c r="BC18" s="88">
        <v>3873.06</v>
      </c>
      <c r="BD18" s="24">
        <f t="shared" si="17"/>
        <v>-9.677825585056149E-2</v>
      </c>
      <c r="BE18" s="70">
        <v>1869.5</v>
      </c>
      <c r="BF18" s="89">
        <v>1866.45</v>
      </c>
      <c r="BG18" s="28">
        <f t="shared" si="18"/>
        <v>-1.6314522599625324E-3</v>
      </c>
      <c r="BH18" s="79">
        <v>1.0569999999999999</v>
      </c>
      <c r="BI18" s="90">
        <v>1.0299</v>
      </c>
      <c r="BJ18" s="37">
        <f t="shared" si="19"/>
        <v>-2.5638599810785149E-2</v>
      </c>
    </row>
    <row r="19" spans="1:62" ht="15" thickBot="1" x14ac:dyDescent="0.4">
      <c r="A19" s="617"/>
      <c r="B19" s="3" t="s">
        <v>26</v>
      </c>
      <c r="C19" s="53">
        <v>44183.4</v>
      </c>
      <c r="D19" s="54">
        <v>43445.38</v>
      </c>
      <c r="E19" s="20">
        <f t="shared" si="0"/>
        <v>-1.6703558349968631E-2</v>
      </c>
      <c r="F19" s="62">
        <v>4769.83</v>
      </c>
      <c r="G19" s="63">
        <v>4006.46</v>
      </c>
      <c r="H19" s="24">
        <f t="shared" si="1"/>
        <v>-0.16004134319252467</v>
      </c>
      <c r="I19" s="71">
        <v>2083.5</v>
      </c>
      <c r="J19" s="72">
        <v>1979.55</v>
      </c>
      <c r="K19" s="28">
        <f t="shared" si="2"/>
        <v>-4.9892008639308878E-2</v>
      </c>
      <c r="L19" s="80">
        <v>1.1044</v>
      </c>
      <c r="M19" s="81">
        <v>1.0721000000000001</v>
      </c>
      <c r="N19" s="32">
        <f t="shared" si="3"/>
        <v>-2.9246649764578046E-2</v>
      </c>
      <c r="O19" s="53">
        <v>44183.4</v>
      </c>
      <c r="P19" s="54">
        <v>42388.9</v>
      </c>
      <c r="Q19" s="20">
        <f t="shared" si="4"/>
        <v>-4.0614801033872446E-2</v>
      </c>
      <c r="R19" s="62">
        <v>4769.83</v>
      </c>
      <c r="S19" s="63">
        <v>4770.22</v>
      </c>
      <c r="T19" s="24">
        <f t="shared" si="5"/>
        <v>8.1763920307500979E-5</v>
      </c>
      <c r="U19" s="71">
        <v>2083.5</v>
      </c>
      <c r="V19" s="72">
        <v>2083.9699999999998</v>
      </c>
      <c r="W19" s="28">
        <f t="shared" si="6"/>
        <v>2.2558195344362847E-4</v>
      </c>
      <c r="X19" s="80">
        <v>1.1044</v>
      </c>
      <c r="Y19" s="81">
        <v>1.1035999999999999</v>
      </c>
      <c r="Z19" s="32">
        <f t="shared" si="20"/>
        <v>-7.2437522636737946E-4</v>
      </c>
      <c r="AA19" s="53">
        <v>44183.4</v>
      </c>
      <c r="AB19" s="54">
        <v>44912.28</v>
      </c>
      <c r="AC19" s="20">
        <f t="shared" si="8"/>
        <v>1.6496693328263496E-2</v>
      </c>
      <c r="AD19" s="62">
        <v>4769.83</v>
      </c>
      <c r="AE19" s="63">
        <v>4012.23</v>
      </c>
      <c r="AF19" s="24">
        <f t="shared" si="9"/>
        <v>-0.15883165647413008</v>
      </c>
      <c r="AG19" s="71">
        <v>2083.5</v>
      </c>
      <c r="AH19" s="72">
        <v>1980.44</v>
      </c>
      <c r="AI19" s="28">
        <f t="shared" si="10"/>
        <v>-4.9464842812574968E-2</v>
      </c>
      <c r="AJ19" s="80">
        <v>1.1044</v>
      </c>
      <c r="AK19" s="81">
        <v>1.0726</v>
      </c>
      <c r="AL19" s="32">
        <f t="shared" si="11"/>
        <v>-2.8793915248098559E-2</v>
      </c>
      <c r="AM19" s="53">
        <v>44183.4</v>
      </c>
      <c r="AN19" s="54">
        <v>42253.35</v>
      </c>
      <c r="AO19" s="20">
        <f t="shared" si="12"/>
        <v>-4.3682695310908688E-2</v>
      </c>
      <c r="AP19" s="62">
        <v>4769.83</v>
      </c>
      <c r="AQ19" s="63">
        <v>4768.49</v>
      </c>
      <c r="AR19" s="24">
        <f t="shared" si="13"/>
        <v>-2.8093244413325959E-4</v>
      </c>
      <c r="AS19" s="71">
        <v>2083.5</v>
      </c>
      <c r="AT19" s="72">
        <v>2083.83</v>
      </c>
      <c r="AU19" s="28">
        <f t="shared" si="14"/>
        <v>1.5838732901364398E-4</v>
      </c>
      <c r="AV19" s="80">
        <v>1.1044</v>
      </c>
      <c r="AW19" s="81">
        <v>1.1032999999999999</v>
      </c>
      <c r="AX19" s="32">
        <f t="shared" si="15"/>
        <v>-9.9601593625507135E-4</v>
      </c>
      <c r="AY19" s="53">
        <v>44183.4</v>
      </c>
      <c r="AZ19" s="54">
        <v>12467.87</v>
      </c>
      <c r="BA19" s="20">
        <f t="shared" si="16"/>
        <v>-0.71781551442396918</v>
      </c>
      <c r="BB19" s="62">
        <v>4769.83</v>
      </c>
      <c r="BC19" s="63">
        <v>3846.89</v>
      </c>
      <c r="BD19" s="24">
        <f t="shared" si="17"/>
        <v>-0.19349536566292722</v>
      </c>
      <c r="BE19" s="71">
        <v>2083.5</v>
      </c>
      <c r="BF19" s="72">
        <v>1888.02</v>
      </c>
      <c r="BG19" s="28">
        <f t="shared" si="18"/>
        <v>-9.3822894168466536E-2</v>
      </c>
      <c r="BH19" s="80">
        <v>1.1044</v>
      </c>
      <c r="BI19" s="81">
        <v>1.0207999999999999</v>
      </c>
      <c r="BJ19" s="37">
        <f t="shared" si="19"/>
        <v>-7.5697211155378585E-2</v>
      </c>
    </row>
    <row r="20" spans="1:62" x14ac:dyDescent="0.35">
      <c r="A20" s="615" t="s">
        <v>6</v>
      </c>
      <c r="B20" s="1" t="s">
        <v>27</v>
      </c>
      <c r="C20" s="55">
        <v>69664.399999999994</v>
      </c>
      <c r="D20" s="56">
        <v>53807.040000000001</v>
      </c>
      <c r="E20" s="21">
        <f t="shared" si="0"/>
        <v>-0.22762501363680723</v>
      </c>
      <c r="F20" s="64">
        <v>5243.77</v>
      </c>
      <c r="G20" s="65">
        <v>4829.41</v>
      </c>
      <c r="H20" s="25">
        <f t="shared" si="1"/>
        <v>-7.9019484073481583E-2</v>
      </c>
      <c r="I20" s="73">
        <v>2245.9</v>
      </c>
      <c r="J20" s="74">
        <v>2127.46</v>
      </c>
      <c r="K20" s="29">
        <f t="shared" si="2"/>
        <v>-5.2736096887661982E-2</v>
      </c>
      <c r="L20" s="82">
        <v>1.0743</v>
      </c>
      <c r="M20" s="83">
        <v>1.1044</v>
      </c>
      <c r="N20" s="33">
        <f t="shared" si="3"/>
        <v>2.8018244438238867E-2</v>
      </c>
      <c r="O20" s="55">
        <v>69664.399999999994</v>
      </c>
      <c r="P20" s="56">
        <v>71570.740000000005</v>
      </c>
      <c r="Q20" s="21">
        <f t="shared" si="4"/>
        <v>2.7364622389628147E-2</v>
      </c>
      <c r="R20" s="64">
        <v>5243.77</v>
      </c>
      <c r="S20" s="65">
        <v>5255.05</v>
      </c>
      <c r="T20" s="25">
        <f t="shared" si="5"/>
        <v>2.1511240958317669E-3</v>
      </c>
      <c r="U20" s="73">
        <v>2245.9</v>
      </c>
      <c r="V20" s="74">
        <v>2201.92</v>
      </c>
      <c r="W20" s="29">
        <f t="shared" si="6"/>
        <v>-1.9582350060109541E-2</v>
      </c>
      <c r="X20" s="82">
        <v>1.0743</v>
      </c>
      <c r="Y20" s="83">
        <v>1.0792999999999999</v>
      </c>
      <c r="Z20" s="33">
        <f t="shared" si="20"/>
        <v>4.6541934282787797E-3</v>
      </c>
      <c r="AA20" s="55">
        <v>69664.399999999994</v>
      </c>
      <c r="AB20" s="56">
        <v>53844.160000000003</v>
      </c>
      <c r="AC20" s="21">
        <f t="shared" si="8"/>
        <v>-0.22709217333386914</v>
      </c>
      <c r="AD20" s="64">
        <v>5243.77</v>
      </c>
      <c r="AE20" s="65">
        <v>4834.97</v>
      </c>
      <c r="AF20" s="25">
        <f t="shared" si="9"/>
        <v>-7.7959178224826828E-2</v>
      </c>
      <c r="AG20" s="73">
        <v>2245.9</v>
      </c>
      <c r="AH20" s="74">
        <v>2126.9699999999998</v>
      </c>
      <c r="AI20" s="29">
        <f t="shared" si="10"/>
        <v>-5.2954272229395916E-2</v>
      </c>
      <c r="AJ20" s="82">
        <v>1.0743</v>
      </c>
      <c r="AK20" s="83">
        <v>1.1043000000000001</v>
      </c>
      <c r="AL20" s="33">
        <f t="shared" si="11"/>
        <v>2.7925160569673299E-2</v>
      </c>
      <c r="AM20" s="55">
        <v>69664.399999999994</v>
      </c>
      <c r="AN20" s="56">
        <v>71257.13</v>
      </c>
      <c r="AO20" s="21">
        <f t="shared" si="12"/>
        <v>2.2862896974638561E-2</v>
      </c>
      <c r="AP20" s="64">
        <v>5243.77</v>
      </c>
      <c r="AQ20" s="65">
        <v>5252.94</v>
      </c>
      <c r="AR20" s="25">
        <f t="shared" si="13"/>
        <v>1.7487418403170168E-3</v>
      </c>
      <c r="AS20" s="73">
        <v>2245.9</v>
      </c>
      <c r="AT20" s="74">
        <v>2202.5</v>
      </c>
      <c r="AU20" s="29">
        <f t="shared" si="14"/>
        <v>-1.9324101696424636E-2</v>
      </c>
      <c r="AV20" s="82">
        <v>1.0743</v>
      </c>
      <c r="AW20" s="83">
        <v>1.0791999999999999</v>
      </c>
      <c r="AX20" s="33">
        <f t="shared" si="15"/>
        <v>4.5611095597132122E-3</v>
      </c>
      <c r="AY20" s="55">
        <v>69664.399999999994</v>
      </c>
      <c r="AZ20" s="56">
        <v>43049.69</v>
      </c>
      <c r="BA20" s="21">
        <f t="shared" si="16"/>
        <v>-0.38204176021037994</v>
      </c>
      <c r="BB20" s="64">
        <v>5243.77</v>
      </c>
      <c r="BC20" s="65">
        <v>4808.3</v>
      </c>
      <c r="BD20" s="25">
        <f t="shared" si="17"/>
        <v>-8.3045213653535566E-2</v>
      </c>
      <c r="BE20" s="73">
        <v>2245.9</v>
      </c>
      <c r="BF20" s="74">
        <v>2112.9299999999998</v>
      </c>
      <c r="BG20" s="29">
        <f t="shared" si="18"/>
        <v>-5.9205663653769204E-2</v>
      </c>
      <c r="BH20" s="82">
        <v>1.0743</v>
      </c>
      <c r="BI20" s="83">
        <v>1.0986</v>
      </c>
      <c r="BJ20" s="38">
        <f t="shared" si="19"/>
        <v>2.2619380061435341E-2</v>
      </c>
    </row>
    <row r="21" spans="1:62" x14ac:dyDescent="0.35">
      <c r="A21" s="616"/>
      <c r="B21" s="2" t="s">
        <v>28</v>
      </c>
      <c r="C21" s="52">
        <v>62890.1</v>
      </c>
      <c r="D21" s="87">
        <v>68383.38</v>
      </c>
      <c r="E21" s="20">
        <f t="shared" si="0"/>
        <v>8.7347293135167633E-2</v>
      </c>
      <c r="F21" s="61">
        <v>5475.09</v>
      </c>
      <c r="G21" s="88">
        <v>4889.32</v>
      </c>
      <c r="H21" s="24">
        <f t="shared" si="1"/>
        <v>-0.1069881956278345</v>
      </c>
      <c r="I21" s="70">
        <v>2338.9</v>
      </c>
      <c r="J21" s="89">
        <v>2171.86</v>
      </c>
      <c r="K21" s="28">
        <f t="shared" si="2"/>
        <v>-7.1418188037111446E-2</v>
      </c>
      <c r="L21" s="79">
        <v>1.0738000000000001</v>
      </c>
      <c r="M21" s="90">
        <v>1.1052999999999999</v>
      </c>
      <c r="N21" s="32">
        <f t="shared" si="3"/>
        <v>2.9335071707952933E-2</v>
      </c>
      <c r="O21" s="52">
        <v>62890.1</v>
      </c>
      <c r="P21" s="87">
        <v>62899.29</v>
      </c>
      <c r="Q21" s="20">
        <f t="shared" si="4"/>
        <v>1.4612792792509995E-4</v>
      </c>
      <c r="R21" s="61">
        <v>5475.09</v>
      </c>
      <c r="S21" s="88">
        <v>5460.88</v>
      </c>
      <c r="T21" s="24">
        <f t="shared" si="5"/>
        <v>-2.5953911259906297E-3</v>
      </c>
      <c r="U21" s="70">
        <v>2338.9</v>
      </c>
      <c r="V21" s="89">
        <v>2337.15</v>
      </c>
      <c r="W21" s="28">
        <f t="shared" si="6"/>
        <v>-7.4821497285048526E-4</v>
      </c>
      <c r="X21" s="79">
        <v>1.0738000000000001</v>
      </c>
      <c r="Y21" s="90">
        <v>1.0712999999999999</v>
      </c>
      <c r="Z21" s="32">
        <f t="shared" si="20"/>
        <v>-2.328180294282146E-3</v>
      </c>
      <c r="AA21" s="52">
        <v>62890.1</v>
      </c>
      <c r="AB21" s="87">
        <v>68781.67</v>
      </c>
      <c r="AC21" s="20">
        <f t="shared" si="8"/>
        <v>9.3680404387972024E-2</v>
      </c>
      <c r="AD21" s="61">
        <v>5475.09</v>
      </c>
      <c r="AE21" s="88">
        <v>4899.67</v>
      </c>
      <c r="AF21" s="24">
        <f t="shared" si="9"/>
        <v>-0.10509781574366815</v>
      </c>
      <c r="AG21" s="70">
        <v>2338.9</v>
      </c>
      <c r="AH21" s="89">
        <v>2173.4699999999998</v>
      </c>
      <c r="AI21" s="28">
        <f t="shared" si="10"/>
        <v>-7.0729830262089136E-2</v>
      </c>
      <c r="AJ21" s="79">
        <v>1.0738000000000001</v>
      </c>
      <c r="AK21" s="90">
        <v>1.1049</v>
      </c>
      <c r="AL21" s="32">
        <f t="shared" si="11"/>
        <v>2.8962562860867857E-2</v>
      </c>
      <c r="AM21" s="52">
        <v>62890.1</v>
      </c>
      <c r="AN21" s="87">
        <v>62754.65</v>
      </c>
      <c r="AO21" s="20">
        <f t="shared" si="12"/>
        <v>-2.1537571096245209E-3</v>
      </c>
      <c r="AP21" s="61">
        <v>5475.09</v>
      </c>
      <c r="AQ21" s="88">
        <v>5461.32</v>
      </c>
      <c r="AR21" s="24">
        <f t="shared" si="13"/>
        <v>-2.515027150238706E-3</v>
      </c>
      <c r="AS21" s="70">
        <v>2338.9</v>
      </c>
      <c r="AT21" s="89">
        <v>2337.16</v>
      </c>
      <c r="AU21" s="28">
        <f t="shared" si="14"/>
        <v>-7.4393945872001216E-4</v>
      </c>
      <c r="AV21" s="79">
        <v>1.0738000000000001</v>
      </c>
      <c r="AW21" s="90">
        <v>1.0713999999999999</v>
      </c>
      <c r="AX21" s="32">
        <f t="shared" si="15"/>
        <v>-2.2350530825108769E-3</v>
      </c>
      <c r="AY21" s="52">
        <v>62890.1</v>
      </c>
      <c r="AZ21" s="87">
        <v>46018.02</v>
      </c>
      <c r="BA21" s="20">
        <f t="shared" si="16"/>
        <v>-0.26827879109748598</v>
      </c>
      <c r="BB21" s="61">
        <v>5475.09</v>
      </c>
      <c r="BC21" s="88">
        <v>4926.2</v>
      </c>
      <c r="BD21" s="24">
        <f t="shared" si="17"/>
        <v>-0.10025223329662167</v>
      </c>
      <c r="BE21" s="70">
        <v>2338.9</v>
      </c>
      <c r="BF21" s="89">
        <v>2164.02</v>
      </c>
      <c r="BG21" s="28">
        <f t="shared" si="18"/>
        <v>-7.477019111548168E-2</v>
      </c>
      <c r="BH21" s="79">
        <v>1.0738000000000001</v>
      </c>
      <c r="BI21" s="90">
        <v>1.0984</v>
      </c>
      <c r="BJ21" s="37">
        <f t="shared" si="19"/>
        <v>2.2909294095734729E-2</v>
      </c>
    </row>
    <row r="22" spans="1:62" x14ac:dyDescent="0.35">
      <c r="A22" s="616"/>
      <c r="B22" s="2" t="s">
        <v>29</v>
      </c>
      <c r="C22" s="52">
        <v>60835.5</v>
      </c>
      <c r="D22" s="87">
        <v>87137.72</v>
      </c>
      <c r="E22" s="20">
        <f t="shared" si="0"/>
        <v>0.43234986151178179</v>
      </c>
      <c r="F22" s="61">
        <v>5708.75</v>
      </c>
      <c r="G22" s="88">
        <v>4950.6400000000003</v>
      </c>
      <c r="H22" s="24">
        <f t="shared" si="1"/>
        <v>-0.13279789796365224</v>
      </c>
      <c r="I22" s="70">
        <v>2678.5</v>
      </c>
      <c r="J22" s="89">
        <v>2217.69</v>
      </c>
      <c r="K22" s="28">
        <f t="shared" si="2"/>
        <v>-0.17204032107522865</v>
      </c>
      <c r="L22" s="79">
        <v>1.1067</v>
      </c>
      <c r="M22" s="90">
        <v>1.1061000000000001</v>
      </c>
      <c r="N22" s="32">
        <f t="shared" si="3"/>
        <v>-5.4215234480883162E-4</v>
      </c>
      <c r="O22" s="52">
        <v>60835.5</v>
      </c>
      <c r="P22" s="87">
        <v>63717.07</v>
      </c>
      <c r="Q22" s="20">
        <f t="shared" si="4"/>
        <v>4.7366586943478721E-2</v>
      </c>
      <c r="R22" s="61">
        <v>5708.75</v>
      </c>
      <c r="S22" s="88">
        <v>5761.03</v>
      </c>
      <c r="T22" s="24">
        <f t="shared" si="5"/>
        <v>9.1578716881978977E-3</v>
      </c>
      <c r="U22" s="70">
        <v>2678.5</v>
      </c>
      <c r="V22" s="89">
        <v>2648.85</v>
      </c>
      <c r="W22" s="28">
        <f t="shared" si="6"/>
        <v>-1.1069628523427326E-2</v>
      </c>
      <c r="X22" s="79">
        <v>1.1067</v>
      </c>
      <c r="Y22" s="90">
        <v>1.1133999999999999</v>
      </c>
      <c r="Z22" s="32">
        <f t="shared" si="20"/>
        <v>6.0540345170325546E-3</v>
      </c>
      <c r="AA22" s="52">
        <v>60835.5</v>
      </c>
      <c r="AB22" s="87">
        <v>87709.21</v>
      </c>
      <c r="AC22" s="20">
        <f t="shared" si="8"/>
        <v>0.4417438830945748</v>
      </c>
      <c r="AD22" s="61">
        <v>5708.75</v>
      </c>
      <c r="AE22" s="88">
        <v>4960.33</v>
      </c>
      <c r="AF22" s="24">
        <f t="shared" si="9"/>
        <v>-0.13110050361287498</v>
      </c>
      <c r="AG22" s="70">
        <v>2678.5</v>
      </c>
      <c r="AH22" s="89">
        <v>2221.94</v>
      </c>
      <c r="AI22" s="28">
        <f t="shared" si="10"/>
        <v>-0.17045361209632254</v>
      </c>
      <c r="AJ22" s="79">
        <v>1.1067</v>
      </c>
      <c r="AK22" s="90">
        <v>1.1054999999999999</v>
      </c>
      <c r="AL22" s="32">
        <f t="shared" si="11"/>
        <v>-1.0843046896178638E-3</v>
      </c>
      <c r="AM22" s="52">
        <v>60835.5</v>
      </c>
      <c r="AN22" s="87">
        <v>63512.62</v>
      </c>
      <c r="AO22" s="20">
        <f t="shared" si="12"/>
        <v>4.4005884721914058E-2</v>
      </c>
      <c r="AP22" s="61">
        <v>5708.75</v>
      </c>
      <c r="AQ22" s="88">
        <v>5765.81</v>
      </c>
      <c r="AR22" s="24">
        <f t="shared" si="13"/>
        <v>9.9951828333698974E-3</v>
      </c>
      <c r="AS22" s="70">
        <v>2678.5</v>
      </c>
      <c r="AT22" s="89">
        <v>2649.99</v>
      </c>
      <c r="AU22" s="28">
        <f t="shared" si="14"/>
        <v>-1.0644017173791383E-2</v>
      </c>
      <c r="AV22" s="79">
        <v>1.1067</v>
      </c>
      <c r="AW22" s="90">
        <v>1.1136999999999999</v>
      </c>
      <c r="AX22" s="32">
        <f t="shared" si="15"/>
        <v>6.3251106894369703E-3</v>
      </c>
      <c r="AY22" s="52">
        <v>60835.5</v>
      </c>
      <c r="AZ22" s="87">
        <v>52969.62</v>
      </c>
      <c r="BA22" s="20">
        <f t="shared" si="16"/>
        <v>-0.12929753186872792</v>
      </c>
      <c r="BB22" s="61">
        <v>5708.75</v>
      </c>
      <c r="BC22" s="88">
        <v>5070.21</v>
      </c>
      <c r="BD22" s="24">
        <f t="shared" si="17"/>
        <v>-0.11185285745566016</v>
      </c>
      <c r="BE22" s="70">
        <v>2678.5</v>
      </c>
      <c r="BF22" s="89">
        <v>2256.85</v>
      </c>
      <c r="BG22" s="28">
        <f t="shared" si="18"/>
        <v>-0.15742019787194328</v>
      </c>
      <c r="BH22" s="79">
        <v>1.1067</v>
      </c>
      <c r="BI22" s="90">
        <v>1.1073</v>
      </c>
      <c r="BJ22" s="37">
        <f t="shared" si="19"/>
        <v>5.4215234480883162E-4</v>
      </c>
    </row>
    <row r="23" spans="1:62" ht="15" thickBot="1" x14ac:dyDescent="0.4">
      <c r="A23" s="617"/>
      <c r="B23" s="3" t="s">
        <v>30</v>
      </c>
      <c r="C23" s="53">
        <v>94560.2</v>
      </c>
      <c r="D23" s="54">
        <v>111035.48</v>
      </c>
      <c r="E23" s="20">
        <f t="shared" si="0"/>
        <v>0.17423059595897639</v>
      </c>
      <c r="F23" s="62">
        <v>5881.63</v>
      </c>
      <c r="G23" s="63">
        <v>5012.7299999999996</v>
      </c>
      <c r="H23" s="24">
        <f t="shared" si="1"/>
        <v>-0.14773115615909205</v>
      </c>
      <c r="I23" s="71">
        <v>2618.1</v>
      </c>
      <c r="J23" s="72">
        <v>2264.4899999999998</v>
      </c>
      <c r="K23" s="28">
        <f t="shared" si="2"/>
        <v>-0.13506359573736684</v>
      </c>
      <c r="L23" s="80">
        <v>1.0355000000000001</v>
      </c>
      <c r="M23" s="81">
        <v>1.1069</v>
      </c>
      <c r="N23" s="32">
        <f t="shared" si="3"/>
        <v>6.8952197006277069E-2</v>
      </c>
      <c r="O23" s="53">
        <v>94560.2</v>
      </c>
      <c r="P23" s="54">
        <v>94031.43</v>
      </c>
      <c r="Q23" s="20">
        <f t="shared" si="4"/>
        <v>-5.5918874960078774E-3</v>
      </c>
      <c r="R23" s="62">
        <v>5881.63</v>
      </c>
      <c r="S23" s="63">
        <v>5885.1</v>
      </c>
      <c r="T23" s="24">
        <f t="shared" si="5"/>
        <v>5.899725076212299E-4</v>
      </c>
      <c r="U23" s="71">
        <v>2618.1</v>
      </c>
      <c r="V23" s="72">
        <v>2618.61</v>
      </c>
      <c r="W23" s="28">
        <f t="shared" si="6"/>
        <v>1.9479775409656557E-4</v>
      </c>
      <c r="X23" s="80">
        <v>1.0355000000000001</v>
      </c>
      <c r="Y23" s="81">
        <v>1.0354000000000001</v>
      </c>
      <c r="Z23" s="32">
        <f t="shared" si="20"/>
        <v>-9.6571704490573619E-5</v>
      </c>
      <c r="AA23" s="53">
        <v>94560.2</v>
      </c>
      <c r="AB23" s="54">
        <v>113093.36</v>
      </c>
      <c r="AC23" s="20">
        <f t="shared" si="8"/>
        <v>0.19599324028502482</v>
      </c>
      <c r="AD23" s="62">
        <v>5881.63</v>
      </c>
      <c r="AE23" s="63">
        <v>5040.38</v>
      </c>
      <c r="AF23" s="24">
        <f t="shared" si="9"/>
        <v>-0.14303007839663495</v>
      </c>
      <c r="AG23" s="71">
        <v>2618.1</v>
      </c>
      <c r="AH23" s="72">
        <v>2273.2800000000002</v>
      </c>
      <c r="AI23" s="28">
        <f t="shared" si="10"/>
        <v>-0.13170619915205672</v>
      </c>
      <c r="AJ23" s="80">
        <v>1.0355000000000001</v>
      </c>
      <c r="AK23" s="81">
        <v>1.1062000000000001</v>
      </c>
      <c r="AL23" s="32">
        <f t="shared" si="11"/>
        <v>6.8276195074843046E-2</v>
      </c>
      <c r="AM23" s="53">
        <v>94560.2</v>
      </c>
      <c r="AN23" s="54">
        <v>63696.25</v>
      </c>
      <c r="AO23" s="20">
        <f t="shared" si="12"/>
        <v>-0.32639471997732661</v>
      </c>
      <c r="AP23" s="62">
        <v>5881.63</v>
      </c>
      <c r="AQ23" s="63">
        <v>5887.85</v>
      </c>
      <c r="AR23" s="24">
        <f t="shared" si="13"/>
        <v>1.0575299704334096E-3</v>
      </c>
      <c r="AS23" s="71">
        <v>2618.1</v>
      </c>
      <c r="AT23" s="72">
        <v>2618.54</v>
      </c>
      <c r="AU23" s="28">
        <f t="shared" si="14"/>
        <v>1.680608074558094E-4</v>
      </c>
      <c r="AV23" s="80">
        <v>1.0355000000000001</v>
      </c>
      <c r="AW23" s="81">
        <v>1.0357000000000001</v>
      </c>
      <c r="AX23" s="32">
        <f t="shared" si="15"/>
        <v>1.9314340898114724E-4</v>
      </c>
      <c r="AY23" s="53">
        <v>94560.2</v>
      </c>
      <c r="AZ23" s="54">
        <v>62812.84</v>
      </c>
      <c r="BA23" s="20">
        <f t="shared" si="16"/>
        <v>-0.33573702255282878</v>
      </c>
      <c r="BB23" s="62">
        <v>5881.63</v>
      </c>
      <c r="BC23" s="63">
        <v>5362.26</v>
      </c>
      <c r="BD23" s="24">
        <f t="shared" si="17"/>
        <v>-8.8303752531186067E-2</v>
      </c>
      <c r="BE23" s="71">
        <v>2618.1</v>
      </c>
      <c r="BF23" s="72">
        <v>2388.04</v>
      </c>
      <c r="BG23" s="28">
        <f t="shared" si="18"/>
        <v>-8.7872884916542507E-2</v>
      </c>
      <c r="BH23" s="80">
        <v>1.0355000000000001</v>
      </c>
      <c r="BI23" s="81">
        <v>1.1184000000000001</v>
      </c>
      <c r="BJ23" s="37">
        <f t="shared" si="19"/>
        <v>8.0057943022694325E-2</v>
      </c>
    </row>
    <row r="24" spans="1:62" x14ac:dyDescent="0.35">
      <c r="A24" s="615" t="s">
        <v>7</v>
      </c>
      <c r="B24" s="1" t="s">
        <v>31</v>
      </c>
      <c r="C24" s="55">
        <v>85164.2</v>
      </c>
      <c r="D24" s="56">
        <v>118701.57</v>
      </c>
      <c r="E24" s="21">
        <f t="shared" si="0"/>
        <v>0.3937965717989485</v>
      </c>
      <c r="F24" s="64">
        <v>5633.07</v>
      </c>
      <c r="G24" s="65">
        <v>5964.96</v>
      </c>
      <c r="H24" s="25">
        <f t="shared" si="1"/>
        <v>5.8918138776901469E-2</v>
      </c>
      <c r="I24" s="73">
        <v>3146</v>
      </c>
      <c r="J24" s="74">
        <v>2676.51</v>
      </c>
      <c r="K24" s="29">
        <f t="shared" si="2"/>
        <v>-0.14923394787031144</v>
      </c>
      <c r="L24" s="82">
        <v>1.0792999999999999</v>
      </c>
      <c r="M24" s="83">
        <v>1.0354000000000001</v>
      </c>
      <c r="N24" s="33">
        <f t="shared" si="3"/>
        <v>-4.0674511257296236E-2</v>
      </c>
      <c r="O24" s="55">
        <v>85164.2</v>
      </c>
      <c r="P24" s="56">
        <v>82781.820000000007</v>
      </c>
      <c r="Q24" s="21">
        <f t="shared" si="4"/>
        <v>-2.7973960889669486E-2</v>
      </c>
      <c r="R24" s="64">
        <v>5633.07</v>
      </c>
      <c r="S24" s="65">
        <v>5609.7</v>
      </c>
      <c r="T24" s="25">
        <f t="shared" si="5"/>
        <v>-4.148714644057307E-3</v>
      </c>
      <c r="U24" s="73">
        <v>3146</v>
      </c>
      <c r="V24" s="74">
        <v>3150.21</v>
      </c>
      <c r="W24" s="29">
        <f t="shared" si="6"/>
        <v>1.3382072472981679E-3</v>
      </c>
      <c r="X24" s="82">
        <v>1.0792999999999999</v>
      </c>
      <c r="Y24" s="83">
        <v>1.0817000000000001</v>
      </c>
      <c r="Z24" s="33">
        <f t="shared" si="20"/>
        <v>2.2236634855926805E-3</v>
      </c>
      <c r="AA24" s="55">
        <v>85164.2</v>
      </c>
      <c r="AB24" s="56">
        <v>118531.81</v>
      </c>
      <c r="AC24" s="21">
        <f t="shared" si="8"/>
        <v>0.39180324596485377</v>
      </c>
      <c r="AD24" s="64">
        <v>5633.07</v>
      </c>
      <c r="AE24" s="65">
        <v>5956.59</v>
      </c>
      <c r="AF24" s="25">
        <f t="shared" si="9"/>
        <v>5.7432270502585703E-2</v>
      </c>
      <c r="AG24" s="73">
        <v>3146</v>
      </c>
      <c r="AH24" s="74">
        <v>2677.36</v>
      </c>
      <c r="AI24" s="29">
        <f t="shared" si="10"/>
        <v>-0.14896376350921803</v>
      </c>
      <c r="AJ24" s="82">
        <v>1.0792999999999999</v>
      </c>
      <c r="AK24" s="83">
        <v>1.0350999999999999</v>
      </c>
      <c r="AL24" s="33">
        <f t="shared" si="11"/>
        <v>-4.0952469192995479E-2</v>
      </c>
      <c r="AM24" s="55">
        <v>85164.2</v>
      </c>
      <c r="AN24" s="56">
        <v>82653.070000000007</v>
      </c>
      <c r="AO24" s="21">
        <f t="shared" si="12"/>
        <v>-2.9485746358211433E-2</v>
      </c>
      <c r="AP24" s="64">
        <v>5633.07</v>
      </c>
      <c r="AQ24" s="65">
        <v>5613.96</v>
      </c>
      <c r="AR24" s="25">
        <f t="shared" si="13"/>
        <v>-3.3924662750506691E-3</v>
      </c>
      <c r="AS24" s="73">
        <v>3146</v>
      </c>
      <c r="AT24" s="74">
        <v>3154.69</v>
      </c>
      <c r="AU24" s="29">
        <f t="shared" si="14"/>
        <v>2.7622377622377797E-3</v>
      </c>
      <c r="AV24" s="82">
        <v>1.0792999999999999</v>
      </c>
      <c r="AW24" s="83">
        <v>1.0815999999999999</v>
      </c>
      <c r="AX24" s="33">
        <f t="shared" si="15"/>
        <v>2.1310108403594635E-3</v>
      </c>
      <c r="AY24" s="55">
        <v>85164.2</v>
      </c>
      <c r="AZ24" s="56">
        <v>112826.64</v>
      </c>
      <c r="BA24" s="21">
        <f t="shared" si="16"/>
        <v>0.32481300828282311</v>
      </c>
      <c r="BB24" s="64">
        <v>5633.07</v>
      </c>
      <c r="BC24" s="65">
        <v>6201.37</v>
      </c>
      <c r="BD24" s="25">
        <f t="shared" si="17"/>
        <v>0.10088637279494134</v>
      </c>
      <c r="BE24" s="73">
        <v>3146</v>
      </c>
      <c r="BF24" s="74">
        <v>2754.09</v>
      </c>
      <c r="BG24" s="29">
        <f t="shared" si="18"/>
        <v>-0.12457406230133498</v>
      </c>
      <c r="BH24" s="82">
        <v>1.0792999999999999</v>
      </c>
      <c r="BI24" s="83">
        <v>1.0331999999999999</v>
      </c>
      <c r="BJ24" s="38">
        <f t="shared" si="19"/>
        <v>-4.2712869452422898E-2</v>
      </c>
    </row>
    <row r="25" spans="1:62" x14ac:dyDescent="0.35">
      <c r="A25" s="616"/>
      <c r="B25" s="2" t="s">
        <v>32</v>
      </c>
      <c r="C25" s="52">
        <v>105694.3</v>
      </c>
      <c r="D25" s="87">
        <v>150391.75</v>
      </c>
      <c r="E25" s="20">
        <f t="shared" si="0"/>
        <v>0.42289366597820316</v>
      </c>
      <c r="F25" s="61">
        <v>6198.01</v>
      </c>
      <c r="G25" s="88">
        <v>6048.59</v>
      </c>
      <c r="H25" s="24">
        <f t="shared" si="1"/>
        <v>-2.4107737806166828E-2</v>
      </c>
      <c r="I25" s="70">
        <v>3349.8</v>
      </c>
      <c r="J25" s="89">
        <v>2736.32</v>
      </c>
      <c r="K25" s="28">
        <f t="shared" si="2"/>
        <v>-0.18313929189802375</v>
      </c>
      <c r="L25" s="79">
        <v>1.1807000000000001</v>
      </c>
      <c r="M25" s="90">
        <v>1.0354000000000001</v>
      </c>
      <c r="N25" s="32">
        <f t="shared" si="3"/>
        <v>-0.12306258998898956</v>
      </c>
      <c r="O25" s="52">
        <v>105694.3</v>
      </c>
      <c r="P25" s="87">
        <v>107303.54</v>
      </c>
      <c r="Q25" s="20">
        <f t="shared" si="4"/>
        <v>1.522541896772097E-2</v>
      </c>
      <c r="R25" s="61">
        <v>6198.01</v>
      </c>
      <c r="S25" s="88">
        <v>6203.02</v>
      </c>
      <c r="T25" s="24">
        <f t="shared" si="5"/>
        <v>8.0832396204591765E-4</v>
      </c>
      <c r="U25" s="70">
        <v>3349.8</v>
      </c>
      <c r="V25" s="89">
        <v>3308.87</v>
      </c>
      <c r="W25" s="28">
        <f t="shared" si="6"/>
        <v>-1.2218639918801209E-2</v>
      </c>
      <c r="X25" s="79">
        <v>1.1807000000000001</v>
      </c>
      <c r="Y25" s="90">
        <v>1.1786000000000001</v>
      </c>
      <c r="Z25" s="32">
        <f t="shared" si="20"/>
        <v>-1.7786059117472605E-3</v>
      </c>
      <c r="AA25" s="52">
        <v>105694.3</v>
      </c>
      <c r="AB25" s="87">
        <v>149133.73000000001</v>
      </c>
      <c r="AC25" s="20">
        <f t="shared" si="8"/>
        <v>0.41099122658459353</v>
      </c>
      <c r="AD25" s="61">
        <v>6198.01</v>
      </c>
      <c r="AE25" s="88">
        <v>6035.81</v>
      </c>
      <c r="AF25" s="24">
        <f t="shared" si="9"/>
        <v>-2.6169689948870655E-2</v>
      </c>
      <c r="AG25" s="70">
        <v>3349.8</v>
      </c>
      <c r="AH25" s="89">
        <v>2743.04</v>
      </c>
      <c r="AI25" s="28">
        <f t="shared" si="10"/>
        <v>-0.18113320198220795</v>
      </c>
      <c r="AJ25" s="79">
        <v>1.1807000000000001</v>
      </c>
      <c r="AK25" s="90">
        <v>1.0359</v>
      </c>
      <c r="AL25" s="32">
        <f t="shared" si="11"/>
        <v>-0.12263911239095454</v>
      </c>
      <c r="AM25" s="52">
        <v>105694.3</v>
      </c>
      <c r="AN25" s="87">
        <v>107476.83</v>
      </c>
      <c r="AO25" s="20">
        <f t="shared" si="12"/>
        <v>1.686495865907621E-2</v>
      </c>
      <c r="AP25" s="61">
        <v>6198.01</v>
      </c>
      <c r="AQ25" s="88">
        <v>6204.19</v>
      </c>
      <c r="AR25" s="24">
        <f t="shared" si="13"/>
        <v>9.9709422863134803E-4</v>
      </c>
      <c r="AS25" s="70">
        <v>3349.8</v>
      </c>
      <c r="AT25" s="89">
        <v>3310.75</v>
      </c>
      <c r="AU25" s="28">
        <f t="shared" si="14"/>
        <v>-1.1657412382828879E-2</v>
      </c>
      <c r="AV25" s="79">
        <v>1.1807000000000001</v>
      </c>
      <c r="AW25" s="90">
        <v>1.1788000000000001</v>
      </c>
      <c r="AX25" s="32">
        <f t="shared" si="15"/>
        <v>-1.6092148725332536E-3</v>
      </c>
      <c r="AY25" s="52">
        <v>105694.3</v>
      </c>
      <c r="AZ25" s="87">
        <v>131330.5</v>
      </c>
      <c r="BA25" s="20">
        <f t="shared" si="16"/>
        <v>0.24255044974043063</v>
      </c>
      <c r="BB25" s="61">
        <v>6198.01</v>
      </c>
      <c r="BC25" s="88">
        <v>6427.06</v>
      </c>
      <c r="BD25" s="24">
        <f t="shared" si="17"/>
        <v>3.6955409881558786E-2</v>
      </c>
      <c r="BE25" s="70">
        <v>3349.8</v>
      </c>
      <c r="BF25" s="89">
        <v>2926.5</v>
      </c>
      <c r="BG25" s="28">
        <f t="shared" si="18"/>
        <v>-0.12636575317929433</v>
      </c>
      <c r="BH25" s="79">
        <v>1.1807000000000001</v>
      </c>
      <c r="BI25" s="90">
        <v>1.0367999999999999</v>
      </c>
      <c r="BJ25" s="37">
        <f t="shared" si="19"/>
        <v>-0.12187685271449152</v>
      </c>
    </row>
    <row r="26" spans="1:62" x14ac:dyDescent="0.35">
      <c r="A26" s="616"/>
      <c r="B26" s="2" t="s">
        <v>33</v>
      </c>
      <c r="C26" s="52">
        <v>118576.2</v>
      </c>
      <c r="D26" s="87">
        <v>191038.51</v>
      </c>
      <c r="E26" s="20">
        <f t="shared" si="0"/>
        <v>0.61110332427586656</v>
      </c>
      <c r="F26" s="61">
        <v>6711.2</v>
      </c>
      <c r="G26" s="88">
        <v>6134.33</v>
      </c>
      <c r="H26" s="24">
        <f t="shared" si="1"/>
        <v>-8.5956311836929297E-2</v>
      </c>
      <c r="I26" s="70">
        <v>3897.5</v>
      </c>
      <c r="J26" s="89">
        <v>2798.15</v>
      </c>
      <c r="K26" s="28">
        <f t="shared" si="2"/>
        <v>-0.28206542655548428</v>
      </c>
      <c r="L26" s="79">
        <v>1.173</v>
      </c>
      <c r="M26" s="90">
        <v>1.0355000000000001</v>
      </c>
      <c r="N26" s="32">
        <f t="shared" si="3"/>
        <v>-0.11722080136402382</v>
      </c>
      <c r="O26" s="52">
        <v>118576.2</v>
      </c>
      <c r="P26" s="87">
        <v>114009.09</v>
      </c>
      <c r="Q26" s="20">
        <f t="shared" si="4"/>
        <v>-3.8516245249889947E-2</v>
      </c>
      <c r="R26" s="61">
        <v>6711.2</v>
      </c>
      <c r="S26" s="88">
        <v>6687.09</v>
      </c>
      <c r="T26" s="24">
        <f t="shared" si="5"/>
        <v>-3.5925020860650366E-3</v>
      </c>
      <c r="U26" s="70">
        <v>3897.5</v>
      </c>
      <c r="V26" s="89">
        <v>3873.16</v>
      </c>
      <c r="W26" s="28">
        <f t="shared" si="6"/>
        <v>-6.2450288646568684E-3</v>
      </c>
      <c r="X26" s="79">
        <v>1.173</v>
      </c>
      <c r="Y26" s="90">
        <v>1.1734</v>
      </c>
      <c r="Z26" s="32">
        <f t="shared" si="20"/>
        <v>3.410059676043955E-4</v>
      </c>
      <c r="AA26" s="52">
        <v>118576.2</v>
      </c>
      <c r="AB26" s="87">
        <v>188503.41</v>
      </c>
      <c r="AC26" s="20">
        <f t="shared" si="8"/>
        <v>0.58972382316181504</v>
      </c>
      <c r="AD26" s="61">
        <v>6711.2</v>
      </c>
      <c r="AE26" s="88">
        <v>6122.65</v>
      </c>
      <c r="AF26" s="24">
        <f t="shared" si="9"/>
        <v>-8.7696686136607485E-2</v>
      </c>
      <c r="AG26" s="70">
        <v>3897.5</v>
      </c>
      <c r="AH26" s="89">
        <v>2809.11</v>
      </c>
      <c r="AI26" s="28">
        <f t="shared" si="10"/>
        <v>-0.27925336754329694</v>
      </c>
      <c r="AJ26" s="79">
        <v>1.173</v>
      </c>
      <c r="AK26" s="90">
        <v>1.0370999999999999</v>
      </c>
      <c r="AL26" s="32">
        <f t="shared" si="11"/>
        <v>-0.11585677749360625</v>
      </c>
      <c r="AM26" s="52">
        <v>118576.2</v>
      </c>
      <c r="AN26" s="87">
        <v>114414.37</v>
      </c>
      <c r="AO26" s="20">
        <f t="shared" si="12"/>
        <v>-3.509835869255383E-2</v>
      </c>
      <c r="AP26" s="61">
        <v>6711.2</v>
      </c>
      <c r="AQ26" s="88">
        <v>6691.34</v>
      </c>
      <c r="AR26" s="24">
        <f t="shared" si="13"/>
        <v>-2.9592323280485866E-3</v>
      </c>
      <c r="AS26" s="70">
        <v>3897.5</v>
      </c>
      <c r="AT26" s="89">
        <v>3870.65</v>
      </c>
      <c r="AU26" s="28">
        <f t="shared" si="14"/>
        <v>-6.8890314304040816E-3</v>
      </c>
      <c r="AV26" s="79">
        <v>1.173</v>
      </c>
      <c r="AW26" s="90">
        <v>1.1735</v>
      </c>
      <c r="AX26" s="32">
        <f t="shared" si="15"/>
        <v>4.262574595054944E-4</v>
      </c>
      <c r="AY26" s="52">
        <v>118576.2</v>
      </c>
      <c r="AZ26" s="87">
        <v>156050.74</v>
      </c>
      <c r="BA26" s="20">
        <f t="shared" si="16"/>
        <v>0.31603761969096661</v>
      </c>
      <c r="BB26" s="61">
        <v>6711.2</v>
      </c>
      <c r="BC26" s="88">
        <v>6690.16</v>
      </c>
      <c r="BD26" s="24">
        <f t="shared" si="17"/>
        <v>-3.1350578138037853E-3</v>
      </c>
      <c r="BE26" s="70">
        <v>3897.5</v>
      </c>
      <c r="BF26" s="89">
        <v>3133.09</v>
      </c>
      <c r="BG26" s="28">
        <f t="shared" si="18"/>
        <v>-0.19612828736369464</v>
      </c>
      <c r="BH26" s="79">
        <v>1.173</v>
      </c>
      <c r="BI26" s="90">
        <v>1.0449999999999999</v>
      </c>
      <c r="BJ26" s="37">
        <f t="shared" si="19"/>
        <v>-0.10912190963341868</v>
      </c>
    </row>
    <row r="27" spans="1:62" ht="15" thickBot="1" x14ac:dyDescent="0.4">
      <c r="A27" s="617"/>
      <c r="B27" s="3" t="s">
        <v>34</v>
      </c>
      <c r="C27" s="57">
        <v>88812.1</v>
      </c>
      <c r="D27" s="58">
        <v>242670.96</v>
      </c>
      <c r="E27" s="22">
        <f>(D27-C27)/C27</f>
        <v>1.732408759617214</v>
      </c>
      <c r="F27" s="66">
        <v>6845.5</v>
      </c>
      <c r="G27" s="67">
        <v>6221.28</v>
      </c>
      <c r="H27" s="26">
        <f t="shared" si="1"/>
        <v>-9.1186911109488025E-2</v>
      </c>
      <c r="I27" s="75">
        <v>4361.55</v>
      </c>
      <c r="J27" s="76">
        <v>2861.37</v>
      </c>
      <c r="K27" s="30">
        <f t="shared" si="2"/>
        <v>-0.34395570382088941</v>
      </c>
      <c r="L27" s="84">
        <v>1.1746000000000001</v>
      </c>
      <c r="M27" s="85">
        <v>1.0356000000000001</v>
      </c>
      <c r="N27" s="34">
        <f t="shared" si="3"/>
        <v>-0.11833815767069641</v>
      </c>
      <c r="O27" s="57">
        <v>88812.1</v>
      </c>
      <c r="P27" s="58">
        <v>87723.76</v>
      </c>
      <c r="Q27" s="22">
        <f t="shared" si="4"/>
        <v>-1.225441127954424E-2</v>
      </c>
      <c r="R27" s="66">
        <v>6845.5</v>
      </c>
      <c r="S27" s="67">
        <v>6851</v>
      </c>
      <c r="T27" s="26">
        <f t="shared" si="5"/>
        <v>8.0344752026878974E-4</v>
      </c>
      <c r="U27" s="75">
        <v>4361.55</v>
      </c>
      <c r="V27" s="76">
        <v>4387.7700000000004</v>
      </c>
      <c r="W27" s="30">
        <f t="shared" si="6"/>
        <v>6.0116243078722599E-3</v>
      </c>
      <c r="X27" s="84">
        <v>1.1746000000000001</v>
      </c>
      <c r="Y27" s="85">
        <v>1.1746000000000001</v>
      </c>
      <c r="Z27" s="34">
        <f t="shared" si="20"/>
        <v>0</v>
      </c>
      <c r="AA27" s="57">
        <v>88812.1</v>
      </c>
      <c r="AB27" s="58">
        <v>237401.93</v>
      </c>
      <c r="AC27" s="22">
        <f t="shared" si="8"/>
        <v>1.6730809202800065</v>
      </c>
      <c r="AD27" s="66">
        <v>6845.5</v>
      </c>
      <c r="AE27" s="67">
        <v>6218.15</v>
      </c>
      <c r="AF27" s="26">
        <f t="shared" si="9"/>
        <v>-9.1644145789204642E-2</v>
      </c>
      <c r="AG27" s="75">
        <v>4361.55</v>
      </c>
      <c r="AH27" s="76">
        <v>2882.8</v>
      </c>
      <c r="AI27" s="30">
        <f t="shared" si="10"/>
        <v>-0.33904231293920739</v>
      </c>
      <c r="AJ27" s="84">
        <v>1.1746000000000001</v>
      </c>
      <c r="AK27" s="85">
        <v>1.0383</v>
      </c>
      <c r="AL27" s="34">
        <f t="shared" si="11"/>
        <v>-0.11603950280946712</v>
      </c>
      <c r="AM27" s="57">
        <v>88812.1</v>
      </c>
      <c r="AN27" s="58">
        <v>87769.46</v>
      </c>
      <c r="AO27" s="22">
        <f t="shared" si="12"/>
        <v>-1.1739841755796782E-2</v>
      </c>
      <c r="AP27" s="66">
        <v>6845.5</v>
      </c>
      <c r="AQ27" s="67">
        <v>6851.81</v>
      </c>
      <c r="AR27" s="26">
        <f t="shared" si="13"/>
        <v>9.2177342779934269E-4</v>
      </c>
      <c r="AS27" s="75">
        <v>4361.55</v>
      </c>
      <c r="AT27" s="76">
        <v>4397.17</v>
      </c>
      <c r="AU27" s="30">
        <f t="shared" si="14"/>
        <v>8.166821428161981E-3</v>
      </c>
      <c r="AV27" s="84">
        <v>1.1746000000000001</v>
      </c>
      <c r="AW27" s="85">
        <v>1.1747000000000001</v>
      </c>
      <c r="AX27" s="34">
        <f t="shared" si="15"/>
        <v>8.5135365230707457E-5</v>
      </c>
      <c r="AY27" s="57">
        <v>88812.1</v>
      </c>
      <c r="AZ27" s="58">
        <v>179924.52</v>
      </c>
      <c r="BA27" s="22">
        <f t="shared" si="16"/>
        <v>1.0259009752049548</v>
      </c>
      <c r="BB27" s="66">
        <v>6845.5</v>
      </c>
      <c r="BC27" s="67">
        <v>7061</v>
      </c>
      <c r="BD27" s="26">
        <f t="shared" si="17"/>
        <v>3.1480534657804399E-2</v>
      </c>
      <c r="BE27" s="75">
        <v>4361.55</v>
      </c>
      <c r="BF27" s="76">
        <v>3428.53</v>
      </c>
      <c r="BG27" s="30">
        <f t="shared" si="18"/>
        <v>-0.21391936352902063</v>
      </c>
      <c r="BH27" s="84">
        <v>1.1746000000000001</v>
      </c>
      <c r="BI27" s="85">
        <v>1.0553999999999999</v>
      </c>
      <c r="BJ27" s="39">
        <f t="shared" si="19"/>
        <v>-0.10148135535501464</v>
      </c>
    </row>
    <row r="28" spans="1:62" x14ac:dyDescent="0.35">
      <c r="D28" t="s">
        <v>40</v>
      </c>
      <c r="E28" s="20" cm="1">
        <f t="array" ref="E28">AVERAGE(ABS(E4:E27))</f>
        <v>1.0265439941037653</v>
      </c>
      <c r="G28" t="s">
        <v>40</v>
      </c>
      <c r="H28" s="24" cm="1">
        <f t="array" ref="H28">AVERAGE(ABS(H4:H27))</f>
        <v>0.130167169295241</v>
      </c>
      <c r="J28" t="s">
        <v>40</v>
      </c>
      <c r="K28" s="28" cm="1">
        <f t="array" ref="K28">AVERAGE(ABS(K4:K27))</f>
        <v>0.11815919350437008</v>
      </c>
      <c r="M28" t="s">
        <v>40</v>
      </c>
      <c r="N28" s="35" cm="1">
        <f t="array" ref="N28">AVERAGE(ABS(N4:N27))</f>
        <v>5.4821890430214487E-2</v>
      </c>
      <c r="P28" t="s">
        <v>40</v>
      </c>
      <c r="Q28" s="20" cm="1">
        <f t="array" ref="Q28">AVERAGE(ABS(Q4:Q27))</f>
        <v>2.3603105615269012E-2</v>
      </c>
      <c r="S28" t="s">
        <v>40</v>
      </c>
      <c r="T28" s="24" cm="1">
        <f t="array" ref="T28">AVERAGE(ABS(T4:T27))</f>
        <v>5.3669333445252694E-3</v>
      </c>
      <c r="V28" t="s">
        <v>40</v>
      </c>
      <c r="W28" s="28" cm="1">
        <f t="array" ref="W28">AVERAGE(ABS(W4:W27))</f>
        <v>4.0144838116363381E-3</v>
      </c>
      <c r="Y28" t="s">
        <v>40</v>
      </c>
      <c r="Z28" s="35" cm="1">
        <f t="array" ref="Z28">AVERAGE(ABS(Z4:Z27))</f>
        <v>1.7264471176856864E-3</v>
      </c>
      <c r="AB28" t="s">
        <v>40</v>
      </c>
      <c r="AC28" s="20" cm="1">
        <f t="array" ref="AC28">AVERAGE(ABS(AC4:AC27))</f>
        <v>0.97926702621680883</v>
      </c>
      <c r="AE28" t="s">
        <v>40</v>
      </c>
      <c r="AF28" s="24" cm="1">
        <f t="array" ref="AF28">AVERAGE(ABS(AF4:AF27))</f>
        <v>0.12912372015400433</v>
      </c>
      <c r="AH28" t="s">
        <v>40</v>
      </c>
      <c r="AI28" s="28" cm="1">
        <f t="array" ref="AI28">AVERAGE(ABS(AI4:AI27))</f>
        <v>0.11658479721638716</v>
      </c>
      <c r="AK28" t="s">
        <v>40</v>
      </c>
      <c r="AL28" s="35" cm="1">
        <f t="array" ref="AL28">AVERAGE(ABS(AL4:AL27))</f>
        <v>5.4183547798500049E-2</v>
      </c>
      <c r="AN28" t="s">
        <v>40</v>
      </c>
      <c r="AO28" s="20" cm="1">
        <f t="array" ref="AO28">AVERAGE(ABS(AO4:AO27))</f>
        <v>3.6161156765879422E-2</v>
      </c>
      <c r="AQ28" t="s">
        <v>40</v>
      </c>
      <c r="AR28" s="24" cm="1">
        <f t="array" ref="AR28">AVERAGE(ABS(AR4:AR27))</f>
        <v>5.5213967295835919E-3</v>
      </c>
      <c r="AT28" t="s">
        <v>40</v>
      </c>
      <c r="AU28" s="28" cm="1">
        <f t="array" ref="AU28">AVERAGE(ABS(AU4:AU27))</f>
        <v>4.3725639207581333E-3</v>
      </c>
      <c r="AW28" t="s">
        <v>40</v>
      </c>
      <c r="AX28" s="35" cm="1">
        <f t="array" ref="AX28">AVERAGE(ABS(AX4:AX27))</f>
        <v>1.7571768166273812E-3</v>
      </c>
      <c r="AZ28" t="s">
        <v>40</v>
      </c>
      <c r="BA28" s="20" cm="1">
        <f t="array" ref="BA28">AVERAGE(ABS(BA4:BA27))</f>
        <v>0.69414892117823801</v>
      </c>
      <c r="BC28" t="s">
        <v>40</v>
      </c>
      <c r="BD28" s="24" cm="1">
        <f t="array" ref="BD28">AVERAGE(ABS(BD4:BD27))</f>
        <v>0.12555312369212876</v>
      </c>
      <c r="BF28" t="s">
        <v>40</v>
      </c>
      <c r="BG28" s="28" cm="1">
        <f t="array" ref="BG28">AVERAGE(ABS(BG4:BG27))</f>
        <v>0.10299876208610644</v>
      </c>
      <c r="BI28" t="s">
        <v>40</v>
      </c>
      <c r="BJ28" s="35" cm="1">
        <f t="array" ref="BJ28">AVERAGE(ABS(BJ4:BJ27))</f>
        <v>5.9392464248066379E-2</v>
      </c>
    </row>
    <row r="29" spans="1:62" x14ac:dyDescent="0.35">
      <c r="D29" t="s">
        <v>41</v>
      </c>
      <c r="E29" s="20" cm="1">
        <f t="array" ref="E29">MAX(ABS(E4:E27))</f>
        <v>7.6732308766186872</v>
      </c>
      <c r="G29" t="s">
        <v>41</v>
      </c>
      <c r="H29" s="24" cm="1">
        <f t="array" ref="H29">MAX(ABS(H4:H27))</f>
        <v>0.38433799454487655</v>
      </c>
      <c r="J29" t="s">
        <v>41</v>
      </c>
      <c r="K29" s="28" cm="1">
        <f t="array" ref="K29">MAX(ABS(K4:K27))</f>
        <v>0.34395570382088941</v>
      </c>
      <c r="M29" t="s">
        <v>41</v>
      </c>
      <c r="N29" s="35" cm="1">
        <f t="array" ref="N29">MAX(ABS(N4:N27))</f>
        <v>0.16399632615573023</v>
      </c>
      <c r="P29" t="s">
        <v>41</v>
      </c>
      <c r="Q29" s="20" cm="1">
        <f t="array" ref="Q29">MAX(ABS(Q4:Q27))</f>
        <v>8.8091222531466742E-2</v>
      </c>
      <c r="S29" t="s">
        <v>41</v>
      </c>
      <c r="T29" s="24" cm="1">
        <f t="array" ref="T29">MAX(ABS(T4:T27))</f>
        <v>4.8249342238413206E-2</v>
      </c>
      <c r="V29" t="s">
        <v>41</v>
      </c>
      <c r="W29" s="28" cm="1">
        <f t="array" ref="W29">MAX(ABS(W4:W27))</f>
        <v>1.9582350060109541E-2</v>
      </c>
      <c r="Y29" t="s">
        <v>41</v>
      </c>
      <c r="Z29" s="35" cm="1">
        <f t="array" ref="Z29">MAX(ABS(Z4:Z27))</f>
        <v>6.0540345170325546E-3</v>
      </c>
      <c r="AB29" t="s">
        <v>41</v>
      </c>
      <c r="AC29" s="20" cm="1">
        <f t="array" ref="AC29">MAX(ABS(AC4:AC27))</f>
        <v>6.9922345111442734</v>
      </c>
      <c r="AE29" t="s">
        <v>41</v>
      </c>
      <c r="AF29" s="24" cm="1">
        <f t="array" ref="AF29">MAX(ABS(AF4:AF27))</f>
        <v>0.38206223749309753</v>
      </c>
      <c r="AH29" t="s">
        <v>41</v>
      </c>
      <c r="AI29" s="28" cm="1">
        <f t="array" ref="AI29">MAX(ABS(AI4:AI27))</f>
        <v>0.33904231293920739</v>
      </c>
      <c r="AK29" t="s">
        <v>41</v>
      </c>
      <c r="AL29" s="35" cm="1">
        <f t="array" ref="AL29">MAX(ABS(AL4:AL27))</f>
        <v>0.16226145525053581</v>
      </c>
      <c r="AN29" t="s">
        <v>41</v>
      </c>
      <c r="AO29" s="20" cm="1">
        <f t="array" ref="AO29">MAX(ABS(AO4:AO27))</f>
        <v>0.32639471997732661</v>
      </c>
      <c r="AQ29" t="s">
        <v>41</v>
      </c>
      <c r="AR29" s="24" cm="1">
        <f t="array" ref="AR29">MAX(ABS(AR4:AR27))</f>
        <v>5.2252580449301818E-2</v>
      </c>
      <c r="AT29" t="s">
        <v>41</v>
      </c>
      <c r="AU29" s="28" cm="1">
        <f t="array" ref="AU29">MAX(ABS(AU4:AU27))</f>
        <v>1.9324101696424636E-2</v>
      </c>
      <c r="AW29" t="s">
        <v>41</v>
      </c>
      <c r="AX29" s="35" cm="1">
        <f t="array" ref="AX29">MAX(ABS(AX4:AX27))</f>
        <v>6.3251106894369703E-3</v>
      </c>
      <c r="AZ29" t="s">
        <v>41</v>
      </c>
      <c r="BA29" s="20" cm="1">
        <f t="array" ref="BA29">MAX(ABS(BA4:BA27))</f>
        <v>3.0942395176430946</v>
      </c>
      <c r="BC29" t="s">
        <v>41</v>
      </c>
      <c r="BD29" s="24" cm="1">
        <f t="array" ref="BD29">MAX(ABS(BD4:BD27))</f>
        <v>0.49589192385138414</v>
      </c>
      <c r="BF29" t="s">
        <v>41</v>
      </c>
      <c r="BG29" s="28" cm="1">
        <f t="array" ref="BG29">MAX(ABS(BG4:BG27))</f>
        <v>0.21391936352902063</v>
      </c>
      <c r="BI29" t="s">
        <v>41</v>
      </c>
      <c r="BJ29" s="35" cm="1">
        <f t="array" ref="BJ29">MAX(ABS(BJ4:BJ27))</f>
        <v>0.14225941422594141</v>
      </c>
    </row>
    <row r="30" spans="1:62" x14ac:dyDescent="0.35">
      <c r="D30" t="s">
        <v>42</v>
      </c>
      <c r="E30" s="20" cm="1">
        <f t="array" ref="E30">MEDIAN(ABS(E4:E27))</f>
        <v>0.41983749811006715</v>
      </c>
      <c r="G30" t="s">
        <v>42</v>
      </c>
      <c r="H30" s="24" cm="1">
        <f t="array" ref="H30">MEDIAN(ABS(H4:H27))</f>
        <v>0.1059274728571802</v>
      </c>
      <c r="J30" t="s">
        <v>42</v>
      </c>
      <c r="K30" s="28" cm="1">
        <f t="array" ref="K30">MEDIAN(ABS(K4:K27))</f>
        <v>0.11830693207104818</v>
      </c>
      <c r="M30" t="s">
        <v>42</v>
      </c>
      <c r="N30" s="35" cm="1">
        <f t="array" ref="N30">MEDIAN(ABS(N4:N27))</f>
        <v>3.9997552868563199E-2</v>
      </c>
      <c r="P30" t="s">
        <v>42</v>
      </c>
      <c r="Q30" s="20" cm="1">
        <f t="array" ref="Q30">MEDIAN(ABS(Q4:Q27))</f>
        <v>1.7710703419741569E-2</v>
      </c>
      <c r="S30" t="s">
        <v>42</v>
      </c>
      <c r="T30" s="24" cm="1">
        <f t="array" ref="T30">MEDIAN(ABS(T4:T27))</f>
        <v>2.0949115606919092E-3</v>
      </c>
      <c r="V30" t="s">
        <v>42</v>
      </c>
      <c r="W30" s="28" cm="1">
        <f t="array" ref="W30">MEDIAN(ABS(W4:W27))</f>
        <v>8.064907145073903E-4</v>
      </c>
      <c r="Y30" t="s">
        <v>42</v>
      </c>
      <c r="Z30" s="35" cm="1">
        <f t="array" ref="Z30">MEDIAN(ABS(Z4:Z27))</f>
        <v>9.6594817899362071E-4</v>
      </c>
      <c r="AB30" t="s">
        <v>42</v>
      </c>
      <c r="AC30" s="20" cm="1">
        <f t="array" ref="AC30">MEDIAN(ABS(AC4:AC27))</f>
        <v>0.40139723627472368</v>
      </c>
      <c r="AE30" t="s">
        <v>42</v>
      </c>
      <c r="AF30" s="24" cm="1">
        <f t="array" ref="AF30">MEDIAN(ABS(AF4:AF27))</f>
        <v>0.10515400358281086</v>
      </c>
      <c r="AH30" t="s">
        <v>42</v>
      </c>
      <c r="AI30" s="28" cm="1">
        <f t="array" ref="AI30">MEDIAN(ABS(AI4:AI27))</f>
        <v>0.11726474127652055</v>
      </c>
      <c r="AK30" t="s">
        <v>42</v>
      </c>
      <c r="AL30" s="35" cm="1">
        <f t="array" ref="AL30">MEDIAN(ABS(AL4:AL27))</f>
        <v>4.0051606146391597E-2</v>
      </c>
      <c r="AN30" t="s">
        <v>42</v>
      </c>
      <c r="AO30" s="20" cm="1">
        <f t="array" ref="AO30">MEDIAN(ABS(AO4:AO27))</f>
        <v>2.040183594553692E-2</v>
      </c>
      <c r="AQ30" t="s">
        <v>42</v>
      </c>
      <c r="AR30" s="24" cm="1">
        <f t="array" ref="AR30">MEDIAN(ABS(AR4:AR27))</f>
        <v>2.0007344745063432E-3</v>
      </c>
      <c r="AT30" t="s">
        <v>42</v>
      </c>
      <c r="AU30" s="28" cm="1">
        <f t="array" ref="AU30">MEDIAN(ABS(AU4:AU27))</f>
        <v>1.71684161731505E-3</v>
      </c>
      <c r="AW30" t="s">
        <v>42</v>
      </c>
      <c r="AX30" s="35" cm="1">
        <f t="array" ref="AX30">MEDIAN(ABS(AX4:AX27))</f>
        <v>9.9561042899793317E-4</v>
      </c>
      <c r="AZ30" t="s">
        <v>42</v>
      </c>
      <c r="BA30" s="20" cm="1">
        <f t="array" ref="BA30">MEDIAN(ABS(BA4:BA27))</f>
        <v>0.36219911585111586</v>
      </c>
      <c r="BC30" t="s">
        <v>42</v>
      </c>
      <c r="BD30" s="24" cm="1">
        <f t="array" ref="BD30">MEDIAN(ABS(BD4:BD27))</f>
        <v>8.7038114651152534E-2</v>
      </c>
      <c r="BF30" t="s">
        <v>42</v>
      </c>
      <c r="BG30" s="28" cm="1">
        <f t="array" ref="BG30">MEDIAN(ABS(BG4:BG27))</f>
        <v>9.712213307782841E-2</v>
      </c>
      <c r="BI30" t="s">
        <v>42</v>
      </c>
      <c r="BJ30" s="35" cm="1">
        <f t="array" ref="BJ30">MEDIAN(ABS(BJ4:BJ27))</f>
        <v>4.4835329387642134E-2</v>
      </c>
    </row>
    <row r="33" spans="2:11" ht="14.5" customHeight="1" x14ac:dyDescent="0.35">
      <c r="B33" s="590" t="s">
        <v>111</v>
      </c>
      <c r="C33" s="590"/>
      <c r="D33" s="590"/>
      <c r="E33" s="590"/>
      <c r="F33" s="590"/>
      <c r="G33" s="590"/>
      <c r="H33" s="590"/>
      <c r="I33" s="590"/>
      <c r="J33" s="590"/>
      <c r="K33" s="590"/>
    </row>
    <row r="34" spans="2:11" x14ac:dyDescent="0.35">
      <c r="B34" s="590"/>
      <c r="C34" s="590"/>
      <c r="D34" s="590"/>
      <c r="E34" s="590"/>
      <c r="F34" s="590"/>
      <c r="G34" s="590"/>
      <c r="H34" s="590"/>
      <c r="I34" s="590"/>
      <c r="J34" s="590"/>
      <c r="K34" s="590"/>
    </row>
    <row r="35" spans="2:11" x14ac:dyDescent="0.35">
      <c r="B35" s="590"/>
      <c r="C35" s="590"/>
      <c r="D35" s="590"/>
      <c r="E35" s="590"/>
      <c r="F35" s="590"/>
      <c r="G35" s="590"/>
      <c r="H35" s="590"/>
      <c r="I35" s="590"/>
      <c r="J35" s="590"/>
      <c r="K35" s="590"/>
    </row>
    <row r="36" spans="2:11" x14ac:dyDescent="0.35">
      <c r="B36" s="590"/>
      <c r="C36" s="590"/>
      <c r="D36" s="590"/>
      <c r="E36" s="590"/>
      <c r="F36" s="590"/>
      <c r="G36" s="590"/>
      <c r="H36" s="590"/>
      <c r="I36" s="590"/>
      <c r="J36" s="590"/>
      <c r="K36" s="590"/>
    </row>
    <row r="37" spans="2:11" x14ac:dyDescent="0.35">
      <c r="E37" s="86"/>
    </row>
  </sheetData>
  <mergeCells count="35">
    <mergeCell ref="U2:W2"/>
    <mergeCell ref="X2:Z2"/>
    <mergeCell ref="C1:N1"/>
    <mergeCell ref="O1:Z1"/>
    <mergeCell ref="A1:B1"/>
    <mergeCell ref="I2:K2"/>
    <mergeCell ref="L2:N2"/>
    <mergeCell ref="O2:Q2"/>
    <mergeCell ref="R2:T2"/>
    <mergeCell ref="A2:B2"/>
    <mergeCell ref="C2:E2"/>
    <mergeCell ref="F2:H2"/>
    <mergeCell ref="A12:A15"/>
    <mergeCell ref="A16:A19"/>
    <mergeCell ref="A20:A23"/>
    <mergeCell ref="A24:A27"/>
    <mergeCell ref="A3:B3"/>
    <mergeCell ref="A4:A7"/>
    <mergeCell ref="A8:A11"/>
    <mergeCell ref="B33:K36"/>
    <mergeCell ref="AY1:BJ1"/>
    <mergeCell ref="AY2:BA2"/>
    <mergeCell ref="BB2:BD2"/>
    <mergeCell ref="BE2:BG2"/>
    <mergeCell ref="BH2:BJ2"/>
    <mergeCell ref="AM1:AX1"/>
    <mergeCell ref="AM2:AO2"/>
    <mergeCell ref="AP2:AR2"/>
    <mergeCell ref="AS2:AU2"/>
    <mergeCell ref="AV2:AX2"/>
    <mergeCell ref="AA1:AL1"/>
    <mergeCell ref="AA2:AC2"/>
    <mergeCell ref="AD2:AF2"/>
    <mergeCell ref="AG2:AI2"/>
    <mergeCell ref="AJ2:AL2"/>
  </mergeCells>
  <phoneticPr fontId="2" type="noConversion"/>
  <pageMargins left="0.7" right="0.7" top="0.75" bottom="0.75" header="0.3" footer="0.3"/>
  <ignoredErrors>
    <ignoredError sqref="E5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AA62-1405-4D5D-A97C-46B53B01AB28}">
  <dimension ref="A1:F20"/>
  <sheetViews>
    <sheetView topLeftCell="L4" zoomScale="131" zoomScaleNormal="265" workbookViewId="0">
      <selection activeCell="E7" sqref="E7"/>
    </sheetView>
  </sheetViews>
  <sheetFormatPr defaultRowHeight="14.5" x14ac:dyDescent="0.35"/>
  <cols>
    <col min="1" max="1" width="9.36328125" customWidth="1"/>
    <col min="2" max="2" width="9.453125" customWidth="1"/>
    <col min="4" max="4" width="12.6328125" customWidth="1"/>
    <col min="6" max="6" width="11" customWidth="1"/>
  </cols>
  <sheetData>
    <row r="1" spans="1:6" x14ac:dyDescent="0.35">
      <c r="A1" t="s">
        <v>40</v>
      </c>
      <c r="B1" t="s">
        <v>44</v>
      </c>
      <c r="C1" t="s">
        <v>45</v>
      </c>
      <c r="D1" t="s">
        <v>48</v>
      </c>
      <c r="E1" t="s">
        <v>49</v>
      </c>
      <c r="F1" t="s">
        <v>50</v>
      </c>
    </row>
    <row r="2" spans="1:6" x14ac:dyDescent="0.35">
      <c r="A2" t="s">
        <v>35</v>
      </c>
      <c r="B2" s="86">
        <f>'ARIMA DATA'!E28</f>
        <v>1.0265439941037653</v>
      </c>
      <c r="C2" s="86">
        <f>'ARIMA DATA'!Q28</f>
        <v>2.3603105615269012E-2</v>
      </c>
      <c r="D2" s="86">
        <f>'ARIMA DATA'!AC28</f>
        <v>0.97926702621680883</v>
      </c>
      <c r="E2" s="86">
        <f>'ARIMA DATA'!AO28</f>
        <v>3.6161156765879422E-2</v>
      </c>
      <c r="F2" s="86">
        <f>'ARIMA DATA'!BA28</f>
        <v>0.69414892117823801</v>
      </c>
    </row>
    <row r="3" spans="1:6" x14ac:dyDescent="0.35">
      <c r="A3" t="s">
        <v>51</v>
      </c>
      <c r="B3" s="86">
        <f>'ARIMA DATA'!H28</f>
        <v>0.130167169295241</v>
      </c>
      <c r="C3" s="86">
        <f>'ARIMA DATA'!T28</f>
        <v>5.3669333445252694E-3</v>
      </c>
      <c r="D3" s="86">
        <f>'ARIMA DATA'!AF28</f>
        <v>0.12912372015400433</v>
      </c>
      <c r="E3" s="86">
        <f>'ARIMA DATA'!AR28</f>
        <v>5.5213967295835919E-3</v>
      </c>
      <c r="F3" s="86">
        <f>'ARIMA DATA'!BD28</f>
        <v>0.12555312369212876</v>
      </c>
    </row>
    <row r="4" spans="1:6" x14ac:dyDescent="0.35">
      <c r="B4" s="86">
        <v>0</v>
      </c>
      <c r="C4" s="86">
        <v>0</v>
      </c>
      <c r="D4" s="86">
        <v>0</v>
      </c>
      <c r="E4" s="86">
        <v>0</v>
      </c>
      <c r="F4" s="86">
        <v>0</v>
      </c>
    </row>
    <row r="5" spans="1:6" x14ac:dyDescent="0.35">
      <c r="B5" s="86">
        <v>0</v>
      </c>
      <c r="C5" s="86">
        <v>0</v>
      </c>
      <c r="D5" s="86">
        <v>0</v>
      </c>
      <c r="E5" s="86">
        <v>0</v>
      </c>
      <c r="F5" s="86">
        <v>0</v>
      </c>
    </row>
    <row r="6" spans="1:6" x14ac:dyDescent="0.35">
      <c r="B6" s="86">
        <v>0</v>
      </c>
      <c r="C6" s="86">
        <v>0</v>
      </c>
      <c r="D6" s="86">
        <v>0</v>
      </c>
      <c r="E6" s="86">
        <v>0</v>
      </c>
      <c r="F6" s="86">
        <v>0</v>
      </c>
    </row>
    <row r="7" spans="1:6" x14ac:dyDescent="0.35">
      <c r="A7" t="s">
        <v>38</v>
      </c>
      <c r="B7" s="86">
        <f>'ARIMA DATA'!K28</f>
        <v>0.11815919350437008</v>
      </c>
      <c r="C7" s="86">
        <f>'ARIMA DATA'!W28</f>
        <v>4.0144838116363381E-3</v>
      </c>
      <c r="D7" s="86">
        <f>'ARIMA DATA'!AI28</f>
        <v>0.11658479721638716</v>
      </c>
      <c r="E7" s="86">
        <f>'ARIMA DATA'!AU28</f>
        <v>4.3725639207581333E-3</v>
      </c>
      <c r="F7" s="86">
        <f>'ARIMA DATA'!BG28</f>
        <v>0.10299876208610644</v>
      </c>
    </row>
    <row r="8" spans="1:6" x14ac:dyDescent="0.35">
      <c r="A8" t="s">
        <v>39</v>
      </c>
      <c r="B8" s="86">
        <f>'ARIMA DATA'!N28</f>
        <v>5.4821890430214487E-2</v>
      </c>
      <c r="C8" s="86">
        <f>'ARIMA DATA'!Z28</f>
        <v>1.7264471176856864E-3</v>
      </c>
      <c r="D8" s="86">
        <f>'ARIMA DATA'!AL28</f>
        <v>5.4183547798500049E-2</v>
      </c>
      <c r="E8" s="86">
        <f>'ARIMA DATA'!AX28</f>
        <v>1.7571768166273812E-3</v>
      </c>
      <c r="F8" s="86">
        <f>'ARIMA DATA'!BJ28</f>
        <v>5.9392464248066379E-2</v>
      </c>
    </row>
    <row r="10" spans="1:6" x14ac:dyDescent="0.35">
      <c r="A10" t="s">
        <v>41</v>
      </c>
      <c r="B10" t="s">
        <v>44</v>
      </c>
      <c r="C10" t="s">
        <v>45</v>
      </c>
      <c r="D10" t="s">
        <v>48</v>
      </c>
      <c r="E10" t="s">
        <v>49</v>
      </c>
      <c r="F10" t="s">
        <v>50</v>
      </c>
    </row>
    <row r="11" spans="1:6" x14ac:dyDescent="0.35">
      <c r="A11" t="s">
        <v>35</v>
      </c>
      <c r="B11" s="86">
        <f>'ARIMA DATA'!E29</f>
        <v>7.6732308766186872</v>
      </c>
      <c r="C11" s="86">
        <f>'ARIMA DATA'!Q29</f>
        <v>8.8091222531466742E-2</v>
      </c>
      <c r="D11" s="86">
        <f>'ARIMA DATA'!AC29</f>
        <v>6.9922345111442734</v>
      </c>
      <c r="E11" s="86">
        <f>'ARIMA DATA'!AO29</f>
        <v>0.32639471997732661</v>
      </c>
      <c r="F11" s="86">
        <f>'ARIMA DATA'!BA29</f>
        <v>3.0942395176430946</v>
      </c>
    </row>
    <row r="12" spans="1:6" x14ac:dyDescent="0.35">
      <c r="A12" t="s">
        <v>51</v>
      </c>
      <c r="B12" s="86">
        <f>'ARIMA DATA'!H29</f>
        <v>0.38433799454487655</v>
      </c>
      <c r="C12" s="86">
        <f>'ARIMA DATA'!T29</f>
        <v>4.8249342238413206E-2</v>
      </c>
      <c r="D12" s="86">
        <f>'ARIMA DATA'!AF29</f>
        <v>0.38206223749309753</v>
      </c>
      <c r="E12" s="86">
        <f>'ARIMA DATA'!AR29</f>
        <v>5.2252580449301818E-2</v>
      </c>
      <c r="F12" s="86">
        <f>'ARIMA DATA'!BD29</f>
        <v>0.49589192385138414</v>
      </c>
    </row>
    <row r="13" spans="1:6" x14ac:dyDescent="0.35">
      <c r="A13" t="s">
        <v>38</v>
      </c>
      <c r="B13" s="86">
        <f>'ARIMA DATA'!K29</f>
        <v>0.34395570382088941</v>
      </c>
      <c r="C13" s="86">
        <f>'ARIMA DATA'!W29</f>
        <v>1.9582350060109541E-2</v>
      </c>
      <c r="D13" s="86">
        <f>'ARIMA DATA'!AI29</f>
        <v>0.33904231293920739</v>
      </c>
      <c r="E13" s="86">
        <f>'ARIMA DATA'!AU29</f>
        <v>1.9324101696424636E-2</v>
      </c>
      <c r="F13" s="86">
        <f>'ARIMA DATA'!BG29</f>
        <v>0.21391936352902063</v>
      </c>
    </row>
    <row r="14" spans="1:6" x14ac:dyDescent="0.35">
      <c r="A14" t="s">
        <v>39</v>
      </c>
      <c r="B14" s="86">
        <f>'ARIMA DATA'!N29</f>
        <v>0.16399632615573023</v>
      </c>
      <c r="C14" s="86">
        <f>'ARIMA DATA'!Z29</f>
        <v>6.0540345170325546E-3</v>
      </c>
      <c r="D14" s="86">
        <f>'ARIMA DATA'!AL29</f>
        <v>0.16226145525053581</v>
      </c>
      <c r="E14" s="86">
        <f>'ARIMA DATA'!AX29</f>
        <v>6.3251106894369703E-3</v>
      </c>
      <c r="F14" s="86">
        <f>'ARIMA DATA'!BJ29</f>
        <v>0.14225941422594141</v>
      </c>
    </row>
    <row r="16" spans="1:6" x14ac:dyDescent="0.35">
      <c r="A16" t="s">
        <v>52</v>
      </c>
      <c r="B16" t="s">
        <v>44</v>
      </c>
      <c r="C16" t="s">
        <v>45</v>
      </c>
      <c r="D16" t="s">
        <v>48</v>
      </c>
      <c r="E16" t="s">
        <v>49</v>
      </c>
      <c r="F16" t="s">
        <v>50</v>
      </c>
    </row>
    <row r="17" spans="1:6" x14ac:dyDescent="0.35">
      <c r="A17" t="s">
        <v>35</v>
      </c>
      <c r="B17" s="86">
        <f>'ARIMA DATA'!E30</f>
        <v>0.41983749811006715</v>
      </c>
      <c r="C17" s="86">
        <f>'ARIMA DATA'!Q30</f>
        <v>1.7710703419741569E-2</v>
      </c>
      <c r="D17" s="86">
        <f>'ARIMA DATA'!AC30</f>
        <v>0.40139723627472368</v>
      </c>
      <c r="E17" s="86">
        <f>'ARIMA DATA'!AO30</f>
        <v>2.040183594553692E-2</v>
      </c>
      <c r="F17" s="86">
        <f>'ARIMA DATA'!BA30</f>
        <v>0.36219911585111586</v>
      </c>
    </row>
    <row r="18" spans="1:6" x14ac:dyDescent="0.35">
      <c r="A18" t="s">
        <v>51</v>
      </c>
      <c r="B18" s="86">
        <f>'ARIMA DATA'!H30</f>
        <v>0.1059274728571802</v>
      </c>
      <c r="C18" s="86">
        <f>'ARIMA DATA'!T30</f>
        <v>2.0949115606919092E-3</v>
      </c>
      <c r="D18" s="86">
        <f>'ARIMA DATA'!AF30</f>
        <v>0.10515400358281086</v>
      </c>
      <c r="E18" s="86">
        <f>'ARIMA DATA'!AR30</f>
        <v>2.0007344745063432E-3</v>
      </c>
      <c r="F18" s="86">
        <f>'ARIMA DATA'!BD30</f>
        <v>8.7038114651152534E-2</v>
      </c>
    </row>
    <row r="19" spans="1:6" x14ac:dyDescent="0.35">
      <c r="A19" t="s">
        <v>38</v>
      </c>
      <c r="B19" s="86">
        <f>'ARIMA DATA'!K30</f>
        <v>0.11830693207104818</v>
      </c>
      <c r="C19" s="86">
        <f>'ARIMA DATA'!W30</f>
        <v>8.064907145073903E-4</v>
      </c>
      <c r="D19" s="86">
        <f>'ARIMA DATA'!AI30</f>
        <v>0.11726474127652055</v>
      </c>
      <c r="E19" s="86">
        <f>'ARIMA DATA'!AU30</f>
        <v>1.71684161731505E-3</v>
      </c>
      <c r="F19" s="86">
        <f>'ARIMA DATA'!BG30</f>
        <v>9.712213307782841E-2</v>
      </c>
    </row>
    <row r="20" spans="1:6" x14ac:dyDescent="0.35">
      <c r="A20" t="s">
        <v>39</v>
      </c>
      <c r="B20" s="86">
        <f>'ARIMA DATA'!N30</f>
        <v>3.9997552868563199E-2</v>
      </c>
      <c r="C20" s="86">
        <f>'ARIMA DATA'!Z30</f>
        <v>9.6594817899362071E-4</v>
      </c>
      <c r="D20" s="86">
        <f>'ARIMA DATA'!AL30</f>
        <v>4.0051606146391597E-2</v>
      </c>
      <c r="E20" s="86">
        <f>'ARIMA DATA'!AX30</f>
        <v>9.9561042899793317E-4</v>
      </c>
      <c r="F20" s="86">
        <f>'ARIMA DATA'!BJ30</f>
        <v>4.4835329387642134E-2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Erros</vt:lpstr>
      <vt:lpstr>RANDOM WALK</vt:lpstr>
      <vt:lpstr>ARIMA FINAL</vt:lpstr>
      <vt:lpstr>XGBoost</vt:lpstr>
      <vt:lpstr>RNN</vt:lpstr>
      <vt:lpstr>Visual</vt:lpstr>
      <vt:lpstr>ARIMA DATA</vt:lpstr>
      <vt:lpstr>ARIMA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Tiago Caetano</cp:lastModifiedBy>
  <dcterms:created xsi:type="dcterms:W3CDTF">2015-06-05T18:17:20Z</dcterms:created>
  <dcterms:modified xsi:type="dcterms:W3CDTF">2026-06-09T23:06:24Z</dcterms:modified>
</cp:coreProperties>
</file>