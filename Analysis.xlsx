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0000001_{187F5E1B-DBB3-4DA8-BD87-D160D7FBC33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RIMA DATA" sheetId="1" r:id="rId1"/>
    <sheet name="ARIMA ANALYSIS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2" l="1"/>
  <c r="E20" i="2"/>
  <c r="D20" i="2"/>
  <c r="C20" i="2"/>
  <c r="B20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8" i="2"/>
  <c r="E8" i="2"/>
  <c r="D8" i="2"/>
  <c r="C8" i="2"/>
  <c r="B8" i="2"/>
  <c r="F7" i="2"/>
  <c r="E7" i="2"/>
  <c r="D7" i="2"/>
  <c r="C7" i="2"/>
  <c r="B7" i="2"/>
  <c r="F3" i="2"/>
  <c r="E3" i="2"/>
  <c r="D3" i="2"/>
  <c r="C3" i="2"/>
  <c r="B3" i="2"/>
  <c r="F2" i="2"/>
  <c r="E2" i="2"/>
  <c r="D2" i="2"/>
  <c r="C2" i="2"/>
  <c r="B2" i="2"/>
  <c r="BJ30" i="1"/>
  <c r="BJ30" i="1" a="1"/>
  <c r="BG30" i="1"/>
  <c r="BG30" i="1" a="1"/>
  <c r="BD30" i="1"/>
  <c r="BD30" i="1" a="1"/>
  <c r="BA30" i="1"/>
  <c r="BA30" i="1" a="1"/>
  <c r="AX30" i="1"/>
  <c r="AX30" i="1" a="1"/>
  <c r="AU30" i="1"/>
  <c r="AU30" i="1" a="1"/>
  <c r="AR30" i="1"/>
  <c r="AR30" i="1" a="1"/>
  <c r="AO30" i="1"/>
  <c r="AO30" i="1" a="1"/>
  <c r="AL30" i="1"/>
  <c r="AL30" i="1" a="1"/>
  <c r="AI30" i="1"/>
  <c r="AI30" i="1" a="1"/>
  <c r="AF30" i="1"/>
  <c r="AF30" i="1" a="1"/>
  <c r="AC30" i="1"/>
  <c r="AC30" i="1" a="1"/>
  <c r="Z30" i="1"/>
  <c r="Z30" i="1" a="1"/>
  <c r="W30" i="1"/>
  <c r="W30" i="1" a="1"/>
  <c r="T30" i="1"/>
  <c r="T30" i="1" a="1"/>
  <c r="Q30" i="1"/>
  <c r="Q30" i="1" a="1"/>
  <c r="N30" i="1"/>
  <c r="N30" i="1" a="1"/>
  <c r="K30" i="1"/>
  <c r="K30" i="1" a="1"/>
  <c r="H30" i="1"/>
  <c r="H30" i="1" a="1"/>
  <c r="E30" i="1"/>
  <c r="E30" i="1" a="1"/>
  <c r="BJ29" i="1"/>
  <c r="BJ29" i="1" a="1"/>
  <c r="BG29" i="1"/>
  <c r="BG29" i="1" a="1"/>
  <c r="BD29" i="1"/>
  <c r="BD29" i="1" a="1"/>
  <c r="BA29" i="1"/>
  <c r="BA29" i="1" a="1"/>
  <c r="AX29" i="1"/>
  <c r="AX29" i="1" a="1"/>
  <c r="AU29" i="1"/>
  <c r="AU29" i="1" a="1"/>
  <c r="AR29" i="1"/>
  <c r="AR29" i="1" a="1"/>
  <c r="AO29" i="1"/>
  <c r="AO29" i="1" a="1"/>
  <c r="AL29" i="1"/>
  <c r="AL29" i="1" a="1"/>
  <c r="AI29" i="1"/>
  <c r="AI29" i="1" a="1"/>
  <c r="AF29" i="1"/>
  <c r="AF29" i="1" a="1"/>
  <c r="AC29" i="1"/>
  <c r="AC29" i="1" a="1"/>
  <c r="Z29" i="1"/>
  <c r="Z29" i="1" a="1"/>
  <c r="W29" i="1"/>
  <c r="W29" i="1" a="1"/>
  <c r="T29" i="1"/>
  <c r="T29" i="1" a="1"/>
  <c r="Q29" i="1"/>
  <c r="Q29" i="1" a="1"/>
  <c r="N29" i="1"/>
  <c r="N29" i="1" a="1"/>
  <c r="K29" i="1"/>
  <c r="K29" i="1" a="1"/>
  <c r="H29" i="1"/>
  <c r="H29" i="1" a="1"/>
  <c r="E29" i="1"/>
  <c r="E29" i="1" a="1"/>
  <c r="BJ28" i="1"/>
  <c r="BJ28" i="1" a="1"/>
  <c r="BG28" i="1"/>
  <c r="BG28" i="1" a="1"/>
  <c r="BD28" i="1"/>
  <c r="BD28" i="1" a="1"/>
  <c r="BA28" i="1"/>
  <c r="BA28" i="1" a="1"/>
  <c r="AX28" i="1"/>
  <c r="AX28" i="1" a="1"/>
  <c r="AU28" i="1"/>
  <c r="AU28" i="1" a="1"/>
  <c r="AR28" i="1"/>
  <c r="AR28" i="1" a="1"/>
  <c r="AO28" i="1"/>
  <c r="AO28" i="1" a="1"/>
  <c r="AL28" i="1"/>
  <c r="AL28" i="1" a="1"/>
  <c r="AI28" i="1"/>
  <c r="AI28" i="1" a="1"/>
  <c r="AF28" i="1"/>
  <c r="AF28" i="1" a="1"/>
  <c r="AC28" i="1"/>
  <c r="AC28" i="1" a="1"/>
  <c r="Z28" i="1"/>
  <c r="Z28" i="1" a="1"/>
  <c r="W28" i="1"/>
  <c r="W28" i="1" a="1"/>
  <c r="T28" i="1"/>
  <c r="T28" i="1" a="1"/>
  <c r="Q28" i="1"/>
  <c r="Q28" i="1" a="1"/>
  <c r="N28" i="1"/>
  <c r="N28" i="1" a="1"/>
  <c r="K28" i="1"/>
  <c r="K28" i="1" a="1"/>
  <c r="H28" i="1"/>
  <c r="H28" i="1" a="1"/>
  <c r="E28" i="1"/>
  <c r="E28" i="1" a="1"/>
  <c r="BJ27" i="1"/>
  <c r="BG27" i="1"/>
  <c r="BD27" i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N27" i="1"/>
  <c r="K27" i="1"/>
  <c r="H27" i="1"/>
  <c r="E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Z26" i="1"/>
  <c r="W26" i="1"/>
  <c r="T26" i="1"/>
  <c r="Q26" i="1"/>
  <c r="N26" i="1"/>
  <c r="K26" i="1"/>
  <c r="H26" i="1"/>
  <c r="E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N25" i="1"/>
  <c r="K25" i="1"/>
  <c r="H25" i="1"/>
  <c r="E25" i="1"/>
  <c r="BJ24" i="1"/>
  <c r="BG24" i="1"/>
  <c r="BD24" i="1"/>
  <c r="BA24" i="1"/>
  <c r="AX24" i="1"/>
  <c r="AU24" i="1"/>
  <c r="AR24" i="1"/>
  <c r="AO24" i="1"/>
  <c r="AL24" i="1"/>
  <c r="AI24" i="1"/>
  <c r="AF24" i="1"/>
  <c r="AC24" i="1"/>
  <c r="Z24" i="1"/>
  <c r="W24" i="1"/>
  <c r="T24" i="1"/>
  <c r="Q24" i="1"/>
  <c r="N24" i="1"/>
  <c r="K24" i="1"/>
  <c r="H24" i="1"/>
  <c r="E24" i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N23" i="1"/>
  <c r="K23" i="1"/>
  <c r="H23" i="1"/>
  <c r="E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N22" i="1"/>
  <c r="K22" i="1"/>
  <c r="H22" i="1"/>
  <c r="E22" i="1"/>
  <c r="BJ21" i="1"/>
  <c r="BG21" i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N21" i="1"/>
  <c r="K21" i="1"/>
  <c r="H21" i="1"/>
  <c r="E21" i="1"/>
  <c r="BJ20" i="1"/>
  <c r="BG20" i="1"/>
  <c r="BD20" i="1"/>
  <c r="BA20" i="1"/>
  <c r="AX20" i="1"/>
  <c r="AU20" i="1"/>
  <c r="AR20" i="1"/>
  <c r="AO20" i="1"/>
  <c r="AL20" i="1"/>
  <c r="AI20" i="1"/>
  <c r="AF20" i="1"/>
  <c r="AC20" i="1"/>
  <c r="Z20" i="1"/>
  <c r="W20" i="1"/>
  <c r="T20" i="1"/>
  <c r="Q20" i="1"/>
  <c r="N20" i="1"/>
  <c r="K20" i="1"/>
  <c r="H20" i="1"/>
  <c r="E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N19" i="1"/>
  <c r="K19" i="1"/>
  <c r="H19" i="1"/>
  <c r="E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N18" i="1"/>
  <c r="K18" i="1"/>
  <c r="H18" i="1"/>
  <c r="E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N17" i="1"/>
  <c r="K17" i="1"/>
  <c r="H17" i="1"/>
  <c r="E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<sst xmlns="http://schemas.openxmlformats.org/spreadsheetml/2006/main" count="209" uniqueCount="54">
  <si>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</si>
  <si>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</si>
  <si>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</si>
  <si>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</si>
  <si>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</si>
  <si>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</si>
  <si>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</si>
  <si>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</si>
  <si>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</si>
  <si>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</si>
  <si>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</si>
  <si>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</si>
  <si>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</si>
  <si>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</si>
  <si>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</si>
  <si>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</si>
  <si>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</si>
  <si>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</si>
  <si>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</si>
  <si>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</si>
  <si>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</si>
  <si>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</si>
  <si>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</si>
  <si>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</si>
  <si>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</si>
  <si>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</si>
  <si>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</si>
  <si>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</si>
  <si>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</si>
  <si>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</si>
  <si>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</si>
  <si>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</si>
  <si>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</si>
  <si>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</si>
  <si>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</si>
  <si>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</si>
  <si>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</si>
  <si>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</si>
  <si>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</si>
  <si>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</si>
  <si>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 xml:space="preserve">h 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</si>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</sst>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8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10" fontId="0" fillId="0" borderId="0" xfId="0" applyNumberFormat="1"/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33621"/>
      <color rgb="FFFFC107"/>
      <color rgb="FF4CAF50"/>
      <color rgb="FF22BDFF"/>
      <color rgb="FFAADAAC"/>
      <color rgb="FFFFE089"/>
      <color rgb="FFFBB6AF"/>
      <color rgb="FFA3E3FF"/>
      <color rgb="FFEF9B9B"/>
      <color rgb="FFBE71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0.16562650636596546</c:v>
                </c:pt>
                <c:pt idx="1">
                  <c:v>8.5484478771713241E-3</c:v>
                </c:pt>
                <c:pt idx="2">
                  <c:v>0.1640354173885189</c:v>
                </c:pt>
                <c:pt idx="3">
                  <c:v>8.9070923434570615E-3</c:v>
                </c:pt>
                <c:pt idx="4">
                  <c:v>0.16437372396588582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0.10722202342334754</c:v>
                </c:pt>
                <c:pt idx="1">
                  <c:v>3.1791066851724887E-3</c:v>
                </c:pt>
                <c:pt idx="2">
                  <c:v>0.10536782143871931</c:v>
                </c:pt>
                <c:pt idx="3">
                  <c:v>3.3766136751378823E-3</c:v>
                </c:pt>
                <c:pt idx="4">
                  <c:v>0.10165541517862074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5.9682965378486989E-2</c:v>
                </c:pt>
                <c:pt idx="1">
                  <c:v>1.9053262849441227E-3</c:v>
                </c:pt>
                <c:pt idx="2">
                  <c:v>5.8787022517720826E-2</c:v>
                </c:pt>
                <c:pt idx="3">
                  <c:v>1.9288789392539083E-3</c:v>
                </c:pt>
                <c:pt idx="4">
                  <c:v>6.2353531524908447E-2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1.6611418247179177</c:v>
                </c:pt>
                <c:pt idx="1">
                  <c:v>2.6171126308932747E-2</c:v>
                </c:pt>
                <c:pt idx="2">
                  <c:v>1.5702437267527654</c:v>
                </c:pt>
                <c:pt idx="3">
                  <c:v>2.4423915874920311E-2</c:v>
                </c:pt>
                <c:pt idx="4">
                  <c:v>0.94916744185995283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825533</xdr:colOff>
      <xdr:row>0</xdr:row>
      <xdr:rowOff>169314</xdr:rowOff>
    </xdr:from>
    <xdr:to>
      <xdr:col>11</xdr:col>
      <xdr:colOff>86623</xdr:colOff>
      <xdr:row>15</xdr:row>
      <xdr:rowOff>122361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8"/>
  <sheetViews>
    <sheetView topLeftCell="V1" zoomScale="73" workbookViewId="0">
      <selection activeCell="AG17" sqref="AG17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51" max="51" width="10.54296875" customWidth="1"/>
    <col min="52" max="52" width="10.6328125" customWidth="1"/>
  </cols>
  <sheetData>
    <row r="1" spans="1:62" x14ac:dyDescent="0.35">
      <c r="A1" s="101" t="s">
        <v>0</v>
      </c>
      <c r="B1" s="102"/>
      <c r="C1" s="95" t="s">
        <v>45</v>
      </c>
      <c r="D1" s="96"/>
      <c r="E1" s="96"/>
      <c r="F1" s="96"/>
      <c r="G1" s="96"/>
      <c r="H1" s="96"/>
      <c r="I1" s="96"/>
      <c r="J1" s="96"/>
      <c r="K1" s="96"/>
      <c r="L1" s="96"/>
      <c r="M1" s="96"/>
      <c r="N1" s="97"/>
      <c r="O1" s="98" t="s">
        <v>46</v>
      </c>
      <c r="P1" s="99"/>
      <c r="Q1" s="99"/>
      <c r="R1" s="99"/>
      <c r="S1" s="99"/>
      <c r="T1" s="99"/>
      <c r="U1" s="99"/>
      <c r="V1" s="99"/>
      <c r="W1" s="99"/>
      <c r="X1" s="99"/>
      <c r="Y1" s="99"/>
      <c r="Z1" s="100"/>
      <c r="AA1" s="103" t="s">
        <v>44</v>
      </c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5"/>
      <c r="AM1" s="122" t="s">
        <v>48</v>
      </c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4"/>
      <c r="AY1" s="130" t="s">
        <v>47</v>
      </c>
      <c r="AZ1" s="131"/>
      <c r="BA1" s="131"/>
      <c r="BB1" s="131"/>
      <c r="BC1" s="131"/>
      <c r="BD1" s="131"/>
      <c r="BE1" s="131"/>
      <c r="BF1" s="131"/>
      <c r="BG1" s="131"/>
      <c r="BH1" s="131"/>
      <c r="BI1" s="131"/>
      <c r="BJ1" s="132"/>
    </row>
    <row r="2" spans="1:62" x14ac:dyDescent="0.35">
      <c r="A2" s="101" t="s">
        <v>37</v>
      </c>
      <c r="B2" s="102"/>
      <c r="C2" s="121" t="s">
        <v>35</v>
      </c>
      <c r="D2" s="112"/>
      <c r="E2" s="112"/>
      <c r="F2" s="111" t="s">
        <v>36</v>
      </c>
      <c r="G2" s="112"/>
      <c r="H2" s="113"/>
      <c r="I2" s="111" t="s">
        <v>38</v>
      </c>
      <c r="J2" s="112"/>
      <c r="K2" s="113"/>
      <c r="L2" s="111" t="s">
        <v>39</v>
      </c>
      <c r="M2" s="112"/>
      <c r="N2" s="114"/>
      <c r="O2" s="115" t="s">
        <v>35</v>
      </c>
      <c r="P2" s="92"/>
      <c r="Q2" s="93"/>
      <c r="R2" s="91" t="s">
        <v>36</v>
      </c>
      <c r="S2" s="92"/>
      <c r="T2" s="93"/>
      <c r="U2" s="91" t="s">
        <v>38</v>
      </c>
      <c r="V2" s="92"/>
      <c r="W2" s="93"/>
      <c r="X2" s="91" t="s">
        <v>39</v>
      </c>
      <c r="Y2" s="92"/>
      <c r="Z2" s="94"/>
      <c r="AA2" s="106" t="s">
        <v>35</v>
      </c>
      <c r="AB2" s="107"/>
      <c r="AC2" s="108"/>
      <c r="AD2" s="109" t="s">
        <v>36</v>
      </c>
      <c r="AE2" s="107"/>
      <c r="AF2" s="108"/>
      <c r="AG2" s="109" t="s">
        <v>38</v>
      </c>
      <c r="AH2" s="107"/>
      <c r="AI2" s="108"/>
      <c r="AJ2" s="109" t="s">
        <v>39</v>
      </c>
      <c r="AK2" s="107"/>
      <c r="AL2" s="110"/>
      <c r="AM2" s="125" t="s">
        <v>35</v>
      </c>
      <c r="AN2" s="126"/>
      <c r="AO2" s="127"/>
      <c r="AP2" s="128" t="s">
        <v>36</v>
      </c>
      <c r="AQ2" s="126"/>
      <c r="AR2" s="127"/>
      <c r="AS2" s="128" t="s">
        <v>38</v>
      </c>
      <c r="AT2" s="126"/>
      <c r="AU2" s="127"/>
      <c r="AV2" s="128" t="s">
        <v>39</v>
      </c>
      <c r="AW2" s="126"/>
      <c r="AX2" s="129"/>
      <c r="AY2" s="133" t="s">
        <v>35</v>
      </c>
      <c r="AZ2" s="134"/>
      <c r="BA2" s="135"/>
      <c r="BB2" s="136" t="s">
        <v>36</v>
      </c>
      <c r="BC2" s="134"/>
      <c r="BD2" s="135"/>
      <c r="BE2" s="136" t="s">
        <v>38</v>
      </c>
      <c r="BF2" s="134"/>
      <c r="BG2" s="135"/>
      <c r="BH2" s="136" t="s">
        <v>39</v>
      </c>
      <c r="BI2" s="134"/>
      <c r="BJ2" s="137"/>
    </row>
    <row r="3" spans="1:62" ht="15" thickBot="1" x14ac:dyDescent="0.4">
      <c r="A3" s="119" t="s">
        <v>1</v>
      </c>
      <c r="B3" s="120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116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117"/>
      <c r="B5" s="2" t="s">
        <v>12</v>
      </c>
      <c r="C5" s="52">
        <v>9229.9</v>
      </c>
      <c r="D5" s="86">
        <v>13076.75</v>
      </c>
      <c r="E5" s="20">
        <f>(D5-C5)/C5</f>
        <v>0.41678133024193115</v>
      </c>
      <c r="F5" s="87">
        <v>3115.9</v>
      </c>
      <c r="G5" s="87">
        <v>3295.31</v>
      </c>
      <c r="H5" s="24">
        <f>(G5-F5)/F5</f>
        <v>5.7578869668474551E-2</v>
      </c>
      <c r="I5" s="70">
        <v>1779.9</v>
      </c>
      <c r="J5" s="88">
        <v>1587.4</v>
      </c>
      <c r="K5" s="28">
        <f>(J5-I5)/I5</f>
        <v>-0.10815214337884151</v>
      </c>
      <c r="L5" s="79">
        <v>1.125</v>
      </c>
      <c r="M5" s="89">
        <v>1.1234999999999999</v>
      </c>
      <c r="N5" s="32">
        <f>(M5-L5)/L5</f>
        <v>-1.3333333333333838E-3</v>
      </c>
      <c r="O5" s="52">
        <v>9229.9</v>
      </c>
      <c r="P5" s="86">
        <v>9152.48</v>
      </c>
      <c r="Q5" s="20">
        <f>(P5-O5)/O5</f>
        <v>-8.3879565325734925E-3</v>
      </c>
      <c r="R5" s="87">
        <v>3115.9</v>
      </c>
      <c r="S5" s="87">
        <v>3096</v>
      </c>
      <c r="T5" s="24">
        <f>(S5-R5)/R5</f>
        <v>-6.386597772714173E-3</v>
      </c>
      <c r="U5" s="70">
        <v>1779.9</v>
      </c>
      <c r="V5" s="88">
        <v>1800.77</v>
      </c>
      <c r="W5" s="28">
        <f>(V5-U5)/U5</f>
        <v>1.1725377830215119E-2</v>
      </c>
      <c r="X5" s="79">
        <v>1.125</v>
      </c>
      <c r="Y5" s="89">
        <v>1.1231</v>
      </c>
      <c r="Z5" s="37">
        <f>(Y5-X5)/X5</f>
        <v>-1.6888888888889004E-3</v>
      </c>
      <c r="AA5" s="52">
        <v>9229.9</v>
      </c>
      <c r="AB5" s="86">
        <v>12768.7</v>
      </c>
      <c r="AC5" s="20">
        <f>(AB5-AA5)/AA5</f>
        <v>0.38340610407480052</v>
      </c>
      <c r="AD5" s="87">
        <v>3115.9</v>
      </c>
      <c r="AE5" s="87">
        <v>3295</v>
      </c>
      <c r="AF5" s="24">
        <f>(AE5-AD5)/AD5</f>
        <v>5.7479379954427263E-2</v>
      </c>
      <c r="AG5" s="70">
        <v>1779.9</v>
      </c>
      <c r="AH5" s="88">
        <v>1589.24</v>
      </c>
      <c r="AI5" s="28">
        <f>(AH5-AG5)/AG5</f>
        <v>-0.1071183774369347</v>
      </c>
      <c r="AJ5" s="79">
        <v>1.125</v>
      </c>
      <c r="AK5" s="89">
        <v>1.1232</v>
      </c>
      <c r="AL5" s="37">
        <f>(AK5-AJ5)/AJ5</f>
        <v>-1.6000000000000211E-3</v>
      </c>
      <c r="AM5" s="52">
        <v>9229.9</v>
      </c>
      <c r="AN5" s="86">
        <v>9143.9599999999991</v>
      </c>
      <c r="AO5" s="20">
        <f>(AN5-AM5)/AM5</f>
        <v>-9.3110434565922186E-3</v>
      </c>
      <c r="AP5" s="87">
        <v>3115.9</v>
      </c>
      <c r="AQ5" s="87">
        <v>3094.3</v>
      </c>
      <c r="AR5" s="24">
        <f>(AQ5-AP5)/AP5</f>
        <v>-6.9321865271670816E-3</v>
      </c>
      <c r="AS5" s="70">
        <v>1779.9</v>
      </c>
      <c r="AT5" s="88">
        <v>1801.02</v>
      </c>
      <c r="AU5" s="28">
        <f>(AT5-AS5)/AS5</f>
        <v>1.1865835159278549E-2</v>
      </c>
      <c r="AV5" s="79">
        <v>1.125</v>
      </c>
      <c r="AW5" s="89">
        <v>1.1232</v>
      </c>
      <c r="AX5" s="37">
        <f>(AW5-AV5)/AV5</f>
        <v>-1.6000000000000211E-3</v>
      </c>
      <c r="AY5" s="52">
        <v>9229.9</v>
      </c>
      <c r="AZ5" s="86">
        <v>7011.87</v>
      </c>
      <c r="BA5" s="20">
        <f>(AZ5-AY5)/AY5</f>
        <v>-0.24030921245083911</v>
      </c>
      <c r="BB5" s="87">
        <v>3115.9</v>
      </c>
      <c r="BC5" s="87">
        <v>3297.88</v>
      </c>
      <c r="BD5" s="24">
        <f>(BC5-BB5)/BB5</f>
        <v>5.8403671491382911E-2</v>
      </c>
      <c r="BE5" s="70">
        <v>1779.9</v>
      </c>
      <c r="BF5" s="88">
        <v>1601.16</v>
      </c>
      <c r="BG5" s="28">
        <f>(BF5-BE5)/BE5</f>
        <v>-0.1004213719871903</v>
      </c>
      <c r="BH5" s="79">
        <v>1.125</v>
      </c>
      <c r="BI5" s="89">
        <v>1.0956999999999999</v>
      </c>
      <c r="BJ5" s="37">
        <f>(BI5-BH5)/BH5</f>
        <v>-2.6044444444444537E-2</v>
      </c>
    </row>
    <row r="6" spans="1:62" x14ac:dyDescent="0.35">
      <c r="A6" s="117"/>
      <c r="B6" s="2" t="s">
        <v>13</v>
      </c>
      <c r="C6" s="52">
        <v>10620.5</v>
      </c>
      <c r="D6" s="86">
        <v>17613.099999999999</v>
      </c>
      <c r="E6" s="20">
        <f>(D6-C6)/C6</f>
        <v>0.65840591309260377</v>
      </c>
      <c r="F6" s="61">
        <v>3380.8</v>
      </c>
      <c r="G6" s="87">
        <v>3328.59</v>
      </c>
      <c r="H6" s="24">
        <f>(G6-F6)/F6</f>
        <v>-1.5443090392806447E-2</v>
      </c>
      <c r="I6" s="70">
        <v>1912.3</v>
      </c>
      <c r="J6" s="88">
        <v>1620.75</v>
      </c>
      <c r="K6" s="28">
        <f>(J6-I6)/I6</f>
        <v>-0.15246038801443287</v>
      </c>
      <c r="L6" s="79">
        <v>1.1747000000000001</v>
      </c>
      <c r="M6" s="89">
        <v>1.1247</v>
      </c>
      <c r="N6" s="32">
        <f>(M6-L6)/L6</f>
        <v>-4.2564058908657568E-2</v>
      </c>
      <c r="O6" s="52">
        <v>10620.5</v>
      </c>
      <c r="P6" s="86">
        <v>10791.47</v>
      </c>
      <c r="Q6" s="20">
        <f>(P6-O6)/O6</f>
        <v>1.6098112141612858E-2</v>
      </c>
      <c r="R6" s="61">
        <v>3380.8</v>
      </c>
      <c r="S6" s="87">
        <v>3361.39</v>
      </c>
      <c r="T6" s="24">
        <f>(S6-R6)/R6</f>
        <v>-5.7412446758164657E-3</v>
      </c>
      <c r="U6" s="70">
        <v>1912.3</v>
      </c>
      <c r="V6" s="88">
        <v>1892.64</v>
      </c>
      <c r="W6" s="28">
        <f>(V6-U6)/U6</f>
        <v>-1.028081367986187E-2</v>
      </c>
      <c r="X6" s="79">
        <v>1.1747000000000001</v>
      </c>
      <c r="Y6" s="89">
        <v>1.1719999999999999</v>
      </c>
      <c r="Z6" s="37">
        <f>(Y6-X6)/X6</f>
        <v>-2.2984591810676315E-3</v>
      </c>
      <c r="AA6" s="52">
        <v>10620.5</v>
      </c>
      <c r="AB6" s="86">
        <v>17024.11</v>
      </c>
      <c r="AC6" s="20">
        <f>(AB6-AA6)/AA6</f>
        <v>0.60294807212466461</v>
      </c>
      <c r="AD6" s="61">
        <v>3380.8</v>
      </c>
      <c r="AE6" s="87">
        <v>3327.08</v>
      </c>
      <c r="AF6" s="24">
        <f>(AE6-AD6)/AD6</f>
        <v>-1.5889730241363066E-2</v>
      </c>
      <c r="AG6" s="70">
        <v>1912.3</v>
      </c>
      <c r="AH6" s="88">
        <v>1626.89</v>
      </c>
      <c r="AI6" s="28">
        <f>(AH6-AG6)/AG6</f>
        <v>-0.14924959472886046</v>
      </c>
      <c r="AJ6" s="79">
        <v>1.1747000000000001</v>
      </c>
      <c r="AK6" s="89">
        <v>1.1251</v>
      </c>
      <c r="AL6" s="37">
        <f>(AK6-AJ6)/AJ6</f>
        <v>-4.2223546437388342E-2</v>
      </c>
      <c r="AM6" s="52">
        <v>10620.5</v>
      </c>
      <c r="AN6" s="86">
        <v>10811.04</v>
      </c>
      <c r="AO6" s="20">
        <f>(AN6-AM6)/AM6</f>
        <v>1.7940774916435278E-2</v>
      </c>
      <c r="AP6" s="61">
        <v>3380.8</v>
      </c>
      <c r="AQ6" s="87">
        <v>3358.77</v>
      </c>
      <c r="AR6" s="24">
        <f>(AQ6-AP6)/AP6</f>
        <v>-6.5162091812589326E-3</v>
      </c>
      <c r="AS6" s="70">
        <v>1912.3</v>
      </c>
      <c r="AT6" s="88">
        <v>1888.44</v>
      </c>
      <c r="AU6" s="28">
        <f>(AT6-AS6)/AS6</f>
        <v>-1.2477121790513988E-2</v>
      </c>
      <c r="AV6" s="79">
        <v>1.1747000000000001</v>
      </c>
      <c r="AW6" s="89">
        <v>1.1727000000000001</v>
      </c>
      <c r="AX6" s="37">
        <f>(AW6-AV6)/AV6</f>
        <v>-1.7025623563463026E-3</v>
      </c>
      <c r="AY6" s="52">
        <v>10620.5</v>
      </c>
      <c r="AZ6" s="86">
        <v>7549.37</v>
      </c>
      <c r="BA6" s="20">
        <f>(AZ6-AY6)/AY6</f>
        <v>-0.28917000141236288</v>
      </c>
      <c r="BB6" s="61">
        <v>3380.8</v>
      </c>
      <c r="BC6" s="87">
        <v>3354.58</v>
      </c>
      <c r="BD6" s="24">
        <f>(BC6-BB6)/BB6</f>
        <v>-7.7555608140085939E-3</v>
      </c>
      <c r="BE6" s="70">
        <v>1912.3</v>
      </c>
      <c r="BF6" s="88">
        <v>1688.72</v>
      </c>
      <c r="BG6" s="28">
        <f>(BF6-BE6)/BE6</f>
        <v>-0.11691680175704645</v>
      </c>
      <c r="BH6" s="79">
        <v>1.1747000000000001</v>
      </c>
      <c r="BI6" s="89">
        <v>1.0964</v>
      </c>
      <c r="BJ6" s="37">
        <f>(BI6-BH6)/BH6</f>
        <v>-6.6655316250957719E-2</v>
      </c>
    </row>
    <row r="7" spans="1:62" ht="15" thickBot="1" x14ac:dyDescent="0.4">
      <c r="A7" s="118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116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117"/>
      <c r="B9" s="2" t="s">
        <v>16</v>
      </c>
      <c r="C9" s="52">
        <v>33543.599999999999</v>
      </c>
      <c r="D9" s="86">
        <v>52360.58</v>
      </c>
      <c r="E9" s="20">
        <f t="shared" ref="E9:E27" si="0">(D9-C9)/C9</f>
        <v>0.56097079621746038</v>
      </c>
      <c r="F9" s="61">
        <v>4319.8999999999996</v>
      </c>
      <c r="G9" s="87">
        <v>3839.61</v>
      </c>
      <c r="H9" s="24">
        <f t="shared" ref="H9:H27" si="1">(G9-F9)/F9</f>
        <v>-0.11118081437070292</v>
      </c>
      <c r="I9" s="70">
        <v>1776.8</v>
      </c>
      <c r="J9" s="88">
        <v>1980.93</v>
      </c>
      <c r="K9" s="28">
        <f t="shared" ref="K9:K27" si="2">(J9-I9)/I9</f>
        <v>0.11488631247185958</v>
      </c>
      <c r="L9" s="79">
        <v>1.1848000000000001</v>
      </c>
      <c r="M9" s="89">
        <v>1.2262999999999999</v>
      </c>
      <c r="N9" s="32">
        <f t="shared" ref="N9:N27" si="3">(M9-L9)/L9</f>
        <v>3.502700877785269E-2</v>
      </c>
      <c r="O9" s="52">
        <v>33543.599999999999</v>
      </c>
      <c r="P9" s="86">
        <v>35154.36</v>
      </c>
      <c r="Q9" s="20">
        <f t="shared" ref="Q9:Q27" si="4">(P9-O9)/O9</f>
        <v>4.801989053053346E-2</v>
      </c>
      <c r="R9" s="61">
        <v>4319.8999999999996</v>
      </c>
      <c r="S9" s="87">
        <v>4297.72</v>
      </c>
      <c r="T9" s="24">
        <f t="shared" ref="T9:T27" si="5">(S9-R9)/R9</f>
        <v>-5.134378110604269E-3</v>
      </c>
      <c r="U9" s="70">
        <v>1776.8</v>
      </c>
      <c r="V9" s="88">
        <v>1771.76</v>
      </c>
      <c r="W9" s="28">
        <f t="shared" ref="W9:W27" si="6">(V9-U9)/U9</f>
        <v>-2.8365601080594122E-3</v>
      </c>
      <c r="X9" s="79">
        <v>1.1848000000000001</v>
      </c>
      <c r="Y9" s="89">
        <v>1.1855</v>
      </c>
      <c r="Z9" s="37">
        <f t="shared" ref="Z9:Z27" si="7">(Y9-X9)/X9</f>
        <v>5.9081701552998213E-4</v>
      </c>
      <c r="AA9" s="52">
        <v>33543.599999999999</v>
      </c>
      <c r="AB9" s="86">
        <v>52320.87</v>
      </c>
      <c r="AC9" s="20">
        <f t="shared" ref="AC9:AC27" si="8">(AB9-AA9)/AA9</f>
        <v>0.55978696383214699</v>
      </c>
      <c r="AD9" s="61">
        <v>4319.8999999999996</v>
      </c>
      <c r="AE9" s="87">
        <v>3843</v>
      </c>
      <c r="AF9" s="24">
        <f t="shared" ref="AF9:AF27" si="9">(AE9-AD9)/AD9</f>
        <v>-0.11039607398319398</v>
      </c>
      <c r="AG9" s="70">
        <v>1776.8</v>
      </c>
      <c r="AH9" s="88">
        <v>1978.43</v>
      </c>
      <c r="AI9" s="28">
        <f t="shared" ref="AI9:AI27" si="10">(AH9-AG9)/AG9</f>
        <v>0.11347928860873487</v>
      </c>
      <c r="AJ9" s="79">
        <v>1.1848000000000001</v>
      </c>
      <c r="AK9" s="89">
        <v>1.2257</v>
      </c>
      <c r="AL9" s="37">
        <f t="shared" ref="AL9:AL27" si="11">(AK9-AJ9)/AJ9</f>
        <v>3.4520594193112708E-2</v>
      </c>
      <c r="AM9" s="52">
        <v>33543.599999999999</v>
      </c>
      <c r="AN9" s="86">
        <v>35273.660000000003</v>
      </c>
      <c r="AO9" s="20">
        <f t="shared" ref="AO9:AO27" si="12">(AN9-AM9)/AM9</f>
        <v>5.1576455717335198E-2</v>
      </c>
      <c r="AP9" s="61">
        <v>4319.8999999999996</v>
      </c>
      <c r="AQ9" s="87">
        <v>4298.6099999999997</v>
      </c>
      <c r="AR9" s="24">
        <f t="shared" ref="AR9:AR27" si="13">(AQ9-AP9)/AP9</f>
        <v>-4.9283548230283029E-3</v>
      </c>
      <c r="AS9" s="70">
        <v>1776.8</v>
      </c>
      <c r="AT9" s="88">
        <v>1771.59</v>
      </c>
      <c r="AU9" s="28">
        <f t="shared" ref="AU9:AU27" si="14">(AT9-AS9)/AS9</f>
        <v>-2.9322377307519341E-3</v>
      </c>
      <c r="AV9" s="79">
        <v>1.1848000000000001</v>
      </c>
      <c r="AW9" s="89">
        <v>1.1849000000000001</v>
      </c>
      <c r="AX9" s="37">
        <f t="shared" ref="AX9:AX27" si="15">(AW9-AV9)/AV9</f>
        <v>8.4402430789997447E-5</v>
      </c>
      <c r="AY9" s="52">
        <v>33543.599999999999</v>
      </c>
      <c r="AZ9" s="86">
        <v>49554.71</v>
      </c>
      <c r="BA9" s="20">
        <f t="shared" ref="BA9:BA27" si="16">(AZ9-AY9)/AY9</f>
        <v>0.47732235061233741</v>
      </c>
      <c r="BB9" s="61">
        <v>4319.8999999999996</v>
      </c>
      <c r="BC9" s="87">
        <v>4107.6000000000004</v>
      </c>
      <c r="BD9" s="24">
        <f t="shared" ref="BD9:BD27" si="17">(BC9-BB9)/BB9</f>
        <v>-4.9144656126299056E-2</v>
      </c>
      <c r="BE9" s="70">
        <v>1776.8</v>
      </c>
      <c r="BF9" s="88">
        <v>2064.7800000000002</v>
      </c>
      <c r="BG9" s="28">
        <f t="shared" ref="BG9:BG27" si="18">(BF9-BE9)/BE9</f>
        <v>0.16207789284106272</v>
      </c>
      <c r="BH9" s="79">
        <v>1.1848000000000001</v>
      </c>
      <c r="BI9" s="89">
        <v>1.2362</v>
      </c>
      <c r="BJ9" s="37">
        <f t="shared" ref="BJ9:BJ27" si="19">(BI9-BH9)/BH9</f>
        <v>4.3382849426063373E-2</v>
      </c>
    </row>
    <row r="10" spans="1:62" x14ac:dyDescent="0.35">
      <c r="A10" s="117"/>
      <c r="B10" s="2" t="s">
        <v>17</v>
      </c>
      <c r="C10" s="52">
        <v>48146</v>
      </c>
      <c r="D10" s="86">
        <v>70857.75</v>
      </c>
      <c r="E10" s="20">
        <f t="shared" si="0"/>
        <v>0.47172662318780378</v>
      </c>
      <c r="F10" s="61">
        <v>4357</v>
      </c>
      <c r="G10" s="87">
        <v>3883.54</v>
      </c>
      <c r="H10" s="24">
        <f t="shared" si="1"/>
        <v>-0.10866651365618546</v>
      </c>
      <c r="I10" s="70">
        <v>1757.7</v>
      </c>
      <c r="J10" s="88">
        <v>2025.77</v>
      </c>
      <c r="K10" s="28">
        <f t="shared" si="2"/>
        <v>0.1525118051999772</v>
      </c>
      <c r="L10" s="79">
        <v>1.1594</v>
      </c>
      <c r="M10" s="89">
        <v>1.2287999999999999</v>
      </c>
      <c r="N10" s="32">
        <f t="shared" si="3"/>
        <v>5.9858547524581598E-2</v>
      </c>
      <c r="O10" s="52">
        <v>48146</v>
      </c>
      <c r="P10" s="86">
        <v>43904.76</v>
      </c>
      <c r="Q10" s="20">
        <f t="shared" si="4"/>
        <v>-8.8091222531466742E-2</v>
      </c>
      <c r="R10" s="61">
        <v>4357</v>
      </c>
      <c r="S10" s="87">
        <v>4312.01</v>
      </c>
      <c r="T10" s="24">
        <f t="shared" si="5"/>
        <v>-1.0325912324994212E-2</v>
      </c>
      <c r="U10" s="70">
        <v>1757.7</v>
      </c>
      <c r="V10" s="88">
        <v>1756.18</v>
      </c>
      <c r="W10" s="28">
        <f t="shared" si="6"/>
        <v>-8.6476645616429524E-4</v>
      </c>
      <c r="X10" s="79">
        <v>1.1594</v>
      </c>
      <c r="Y10" s="89">
        <v>1.1579999999999999</v>
      </c>
      <c r="Z10" s="37">
        <f t="shared" si="7"/>
        <v>-1.207521131619862E-3</v>
      </c>
      <c r="AA10" s="52">
        <v>48146</v>
      </c>
      <c r="AB10" s="86">
        <v>70617.490000000005</v>
      </c>
      <c r="AC10" s="20">
        <f t="shared" si="8"/>
        <v>0.46673638516179966</v>
      </c>
      <c r="AD10" s="61">
        <v>4357</v>
      </c>
      <c r="AE10" s="87">
        <v>3897.21</v>
      </c>
      <c r="AF10" s="24">
        <f t="shared" si="9"/>
        <v>-0.1055290337388111</v>
      </c>
      <c r="AG10" s="70">
        <v>1757.7</v>
      </c>
      <c r="AH10" s="88">
        <v>2020.66</v>
      </c>
      <c r="AI10" s="28">
        <f t="shared" si="10"/>
        <v>0.14960459691642489</v>
      </c>
      <c r="AJ10" s="79">
        <v>1.1594</v>
      </c>
      <c r="AK10" s="89">
        <v>1.2274</v>
      </c>
      <c r="AL10" s="37">
        <f t="shared" si="11"/>
        <v>5.8651026392961929E-2</v>
      </c>
      <c r="AM10" s="52">
        <v>48146</v>
      </c>
      <c r="AN10" s="86">
        <v>43750.81</v>
      </c>
      <c r="AO10" s="20">
        <f t="shared" si="12"/>
        <v>-9.1288788269015125E-2</v>
      </c>
      <c r="AP10" s="61">
        <v>4357</v>
      </c>
      <c r="AQ10" s="87">
        <v>4323.62</v>
      </c>
      <c r="AR10" s="24">
        <f t="shared" si="13"/>
        <v>-7.661234794583454E-3</v>
      </c>
      <c r="AS10" s="70">
        <v>1757.7</v>
      </c>
      <c r="AT10" s="88">
        <v>1755.85</v>
      </c>
      <c r="AU10" s="28">
        <f t="shared" si="14"/>
        <v>-1.0525118052000548E-3</v>
      </c>
      <c r="AV10" s="79">
        <v>1.1594</v>
      </c>
      <c r="AW10" s="89">
        <v>1.157</v>
      </c>
      <c r="AX10" s="37">
        <f t="shared" si="15"/>
        <v>-2.0700362256339121E-3</v>
      </c>
      <c r="AY10" s="52">
        <v>48146</v>
      </c>
      <c r="AZ10" s="86">
        <v>58153.93</v>
      </c>
      <c r="BA10" s="20">
        <f t="shared" si="16"/>
        <v>0.2078662817264155</v>
      </c>
      <c r="BB10" s="61">
        <v>4357</v>
      </c>
      <c r="BC10" s="87">
        <v>4335.79</v>
      </c>
      <c r="BD10" s="24">
        <f t="shared" si="17"/>
        <v>-4.868028459949515E-3</v>
      </c>
      <c r="BE10" s="70">
        <v>1757.7</v>
      </c>
      <c r="BF10" s="88">
        <v>2116.5</v>
      </c>
      <c r="BG10" s="28">
        <f t="shared" si="18"/>
        <v>0.20413039767878474</v>
      </c>
      <c r="BH10" s="79">
        <v>1.1594</v>
      </c>
      <c r="BI10" s="89">
        <v>1.2437</v>
      </c>
      <c r="BJ10" s="37">
        <f t="shared" si="19"/>
        <v>7.2710022425392484E-2</v>
      </c>
    </row>
    <row r="11" spans="1:62" ht="15" thickBot="1" x14ac:dyDescent="0.4">
      <c r="A11" s="118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116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117"/>
      <c r="B13" s="2" t="s">
        <v>20</v>
      </c>
      <c r="C13" s="52">
        <v>19262.900000000001</v>
      </c>
      <c r="D13" s="86">
        <v>81272.17</v>
      </c>
      <c r="E13" s="20">
        <f t="shared" si="0"/>
        <v>3.2191035617689958</v>
      </c>
      <c r="F13" s="61">
        <v>3825.33</v>
      </c>
      <c r="G13" s="87">
        <v>4896.72</v>
      </c>
      <c r="H13" s="24">
        <f t="shared" si="1"/>
        <v>0.28007779720965259</v>
      </c>
      <c r="I13" s="70">
        <v>1807.3</v>
      </c>
      <c r="J13" s="88">
        <v>1907.09</v>
      </c>
      <c r="K13" s="28">
        <f t="shared" si="2"/>
        <v>5.5214961544845884E-2</v>
      </c>
      <c r="L13" s="79">
        <v>1.0427999999999999</v>
      </c>
      <c r="M13" s="89">
        <v>1.1393</v>
      </c>
      <c r="N13" s="32">
        <f t="shared" si="3"/>
        <v>9.2539317222861558E-2</v>
      </c>
      <c r="O13" s="52">
        <v>19262.900000000001</v>
      </c>
      <c r="P13" s="86">
        <v>19991.560000000001</v>
      </c>
      <c r="Q13" s="20">
        <f t="shared" si="4"/>
        <v>3.7827118450492907E-2</v>
      </c>
      <c r="R13" s="61">
        <v>3825.33</v>
      </c>
      <c r="S13" s="87">
        <v>3787.62</v>
      </c>
      <c r="T13" s="24">
        <f t="shared" si="5"/>
        <v>-9.8579730376202931E-3</v>
      </c>
      <c r="U13" s="70">
        <v>1807.3</v>
      </c>
      <c r="V13" s="88">
        <v>1807.85</v>
      </c>
      <c r="W13" s="28">
        <f t="shared" si="6"/>
        <v>3.043213633596827E-4</v>
      </c>
      <c r="X13" s="79">
        <v>1.0427999999999999</v>
      </c>
      <c r="Y13" s="89">
        <v>1.0479000000000001</v>
      </c>
      <c r="Z13" s="37">
        <f t="shared" si="7"/>
        <v>4.8906789413119527E-3</v>
      </c>
      <c r="AA13" s="52">
        <v>19262.900000000001</v>
      </c>
      <c r="AB13" s="86">
        <v>79741.679999999993</v>
      </c>
      <c r="AC13" s="20">
        <f t="shared" si="8"/>
        <v>3.1396508313909113</v>
      </c>
      <c r="AD13" s="61">
        <v>3825.33</v>
      </c>
      <c r="AE13" s="87">
        <v>4890.1000000000004</v>
      </c>
      <c r="AF13" s="24">
        <f t="shared" si="9"/>
        <v>0.27834722755945251</v>
      </c>
      <c r="AG13" s="70">
        <v>1807.3</v>
      </c>
      <c r="AH13" s="88">
        <v>1906.97</v>
      </c>
      <c r="AI13" s="28">
        <f t="shared" si="10"/>
        <v>5.5148564156476551E-2</v>
      </c>
      <c r="AJ13" s="79">
        <v>1.0427999999999999</v>
      </c>
      <c r="AK13" s="89">
        <v>1.1384000000000001</v>
      </c>
      <c r="AL13" s="37">
        <f t="shared" si="11"/>
        <v>9.1676256233218387E-2</v>
      </c>
      <c r="AM13" s="52">
        <v>19262.900000000001</v>
      </c>
      <c r="AN13" s="86">
        <v>19909.41</v>
      </c>
      <c r="AO13" s="20">
        <f t="shared" si="12"/>
        <v>3.3562443868783952E-2</v>
      </c>
      <c r="AP13" s="61">
        <v>3825.33</v>
      </c>
      <c r="AQ13" s="87">
        <v>3786.85</v>
      </c>
      <c r="AR13" s="24">
        <f t="shared" si="13"/>
        <v>-1.0059262860981933E-2</v>
      </c>
      <c r="AS13" s="70">
        <v>1807.3</v>
      </c>
      <c r="AT13" s="88">
        <v>1807.93</v>
      </c>
      <c r="AU13" s="28">
        <f t="shared" si="14"/>
        <v>3.4858628893936214E-4</v>
      </c>
      <c r="AV13" s="79">
        <v>1.0427999999999999</v>
      </c>
      <c r="AW13" s="89">
        <v>1.0486</v>
      </c>
      <c r="AX13" s="37">
        <f t="shared" si="15"/>
        <v>5.5619485999233104E-3</v>
      </c>
      <c r="AY13" s="52">
        <v>19262.900000000001</v>
      </c>
      <c r="AZ13" s="86">
        <v>67559.95</v>
      </c>
      <c r="BA13" s="20">
        <f t="shared" si="16"/>
        <v>2.5072574742120861</v>
      </c>
      <c r="BB13" s="61">
        <v>3825.33</v>
      </c>
      <c r="BC13" s="87">
        <v>5243.09</v>
      </c>
      <c r="BD13" s="24">
        <f t="shared" si="17"/>
        <v>0.37062423372624065</v>
      </c>
      <c r="BE13" s="70">
        <v>1807.3</v>
      </c>
      <c r="BF13" s="88">
        <v>1892.46</v>
      </c>
      <c r="BG13" s="28">
        <f t="shared" si="18"/>
        <v>4.7120013279477721E-2</v>
      </c>
      <c r="BH13" s="79">
        <v>1.0427999999999999</v>
      </c>
      <c r="BI13" s="89">
        <v>1.1371</v>
      </c>
      <c r="BJ13" s="37">
        <f t="shared" si="19"/>
        <v>9.0429612581511373E-2</v>
      </c>
    </row>
    <row r="14" spans="1:62" x14ac:dyDescent="0.35">
      <c r="A14" s="117"/>
      <c r="B14" s="2" t="s">
        <v>21</v>
      </c>
      <c r="C14" s="52">
        <v>19311.900000000001</v>
      </c>
      <c r="D14" s="86">
        <v>108232.08</v>
      </c>
      <c r="E14" s="20">
        <f t="shared" si="0"/>
        <v>4.604424215121246</v>
      </c>
      <c r="F14" s="61">
        <v>3585.62</v>
      </c>
      <c r="G14" s="87">
        <v>4963.71</v>
      </c>
      <c r="H14" s="24">
        <f t="shared" si="1"/>
        <v>0.38433799454487655</v>
      </c>
      <c r="I14" s="70">
        <v>1663.6</v>
      </c>
      <c r="J14" s="88">
        <v>1948.08</v>
      </c>
      <c r="K14" s="28">
        <f t="shared" si="2"/>
        <v>0.17100264486655448</v>
      </c>
      <c r="L14" s="79">
        <v>0.97989999999999999</v>
      </c>
      <c r="M14" s="89">
        <v>1.1406000000000001</v>
      </c>
      <c r="N14" s="32">
        <f t="shared" si="3"/>
        <v>0.16399632615573023</v>
      </c>
      <c r="O14" s="52">
        <v>19311.900000000001</v>
      </c>
      <c r="P14" s="86">
        <v>19471.509999999998</v>
      </c>
      <c r="Q14" s="20">
        <f t="shared" si="4"/>
        <v>8.2648522413639736E-3</v>
      </c>
      <c r="R14" s="61">
        <v>3585.62</v>
      </c>
      <c r="S14" s="87">
        <v>3592.93</v>
      </c>
      <c r="T14" s="24">
        <f t="shared" si="5"/>
        <v>2.0386990255520511E-3</v>
      </c>
      <c r="U14" s="70">
        <v>1663.6</v>
      </c>
      <c r="V14" s="88">
        <v>1663.93</v>
      </c>
      <c r="W14" s="28">
        <f t="shared" si="6"/>
        <v>1.9836499158460845E-4</v>
      </c>
      <c r="X14" s="79">
        <v>0.97989999999999999</v>
      </c>
      <c r="Y14" s="89">
        <v>0.98019999999999996</v>
      </c>
      <c r="Z14" s="37">
        <f t="shared" si="7"/>
        <v>3.0615368915192057E-4</v>
      </c>
      <c r="AA14" s="52">
        <v>19311.900000000001</v>
      </c>
      <c r="AB14" s="86">
        <v>103914.82</v>
      </c>
      <c r="AC14" s="20">
        <f t="shared" si="8"/>
        <v>4.3808698263764834</v>
      </c>
      <c r="AD14" s="61">
        <v>3585.62</v>
      </c>
      <c r="AE14" s="87">
        <v>4955.55</v>
      </c>
      <c r="AF14" s="24">
        <f t="shared" si="9"/>
        <v>0.38206223749309753</v>
      </c>
      <c r="AG14" s="70">
        <v>1663.6</v>
      </c>
      <c r="AH14" s="88">
        <v>1945.91</v>
      </c>
      <c r="AI14" s="28">
        <f t="shared" si="10"/>
        <v>0.16969824477037762</v>
      </c>
      <c r="AJ14" s="79">
        <v>0.97989999999999999</v>
      </c>
      <c r="AK14" s="89">
        <v>1.1389</v>
      </c>
      <c r="AL14" s="37">
        <f t="shared" si="11"/>
        <v>0.16226145525053581</v>
      </c>
      <c r="AM14" s="52">
        <v>19311.900000000001</v>
      </c>
      <c r="AN14" s="86">
        <v>19388.490000000002</v>
      </c>
      <c r="AO14" s="20">
        <f t="shared" si="12"/>
        <v>3.965948456651088E-3</v>
      </c>
      <c r="AP14" s="61">
        <v>3585.62</v>
      </c>
      <c r="AQ14" s="87">
        <v>3593.35</v>
      </c>
      <c r="AR14" s="24">
        <f t="shared" si="13"/>
        <v>2.1558335796877581E-3</v>
      </c>
      <c r="AS14" s="70">
        <v>1663.6</v>
      </c>
      <c r="AT14" s="88">
        <v>1662.95</v>
      </c>
      <c r="AU14" s="28">
        <f t="shared" si="14"/>
        <v>-3.9071892281790312E-4</v>
      </c>
      <c r="AV14" s="79">
        <v>0.97989999999999999</v>
      </c>
      <c r="AW14" s="89">
        <v>0.9798</v>
      </c>
      <c r="AX14" s="37">
        <f t="shared" si="15"/>
        <v>-1.0205122971730685E-4</v>
      </c>
      <c r="AY14" s="52">
        <v>19311.900000000001</v>
      </c>
      <c r="AZ14" s="86">
        <v>72169.69</v>
      </c>
      <c r="BA14" s="20">
        <f t="shared" si="16"/>
        <v>2.7370579797948413</v>
      </c>
      <c r="BB14" s="61">
        <v>3585.62</v>
      </c>
      <c r="BC14" s="87">
        <v>5363.7</v>
      </c>
      <c r="BD14" s="24">
        <f t="shared" si="17"/>
        <v>0.49589192385138414</v>
      </c>
      <c r="BE14" s="70">
        <v>1663.6</v>
      </c>
      <c r="BF14" s="88">
        <v>1867.68</v>
      </c>
      <c r="BG14" s="28">
        <f t="shared" si="18"/>
        <v>0.12267371964414532</v>
      </c>
      <c r="BH14" s="79">
        <v>0.97989999999999999</v>
      </c>
      <c r="BI14" s="89">
        <v>1.1193</v>
      </c>
      <c r="BJ14" s="37">
        <f t="shared" si="19"/>
        <v>0.14225941422594141</v>
      </c>
    </row>
    <row r="15" spans="1:62" ht="15" thickBot="1" x14ac:dyDescent="0.4">
      <c r="A15" s="118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116" t="s">
        <v>5</v>
      </c>
      <c r="B16" s="1" t="s">
        <v>23</v>
      </c>
      <c r="C16" s="55"/>
      <c r="D16" s="56"/>
      <c r="E16" s="21" t="e">
        <f t="shared" si="0"/>
        <v>#DIV/0!</v>
      </c>
      <c r="F16" s="64"/>
      <c r="G16" s="65"/>
      <c r="H16" s="25" t="e">
        <f t="shared" si="1"/>
        <v>#DIV/0!</v>
      </c>
      <c r="I16" s="73"/>
      <c r="J16" s="74"/>
      <c r="K16" s="29" t="e">
        <f t="shared" si="2"/>
        <v>#DIV/0!</v>
      </c>
      <c r="L16" s="82"/>
      <c r="M16" s="83"/>
      <c r="N16" s="33" t="e">
        <f t="shared" si="3"/>
        <v>#DIV/0!</v>
      </c>
      <c r="O16" s="55"/>
      <c r="P16" s="56"/>
      <c r="Q16" s="21" t="e">
        <f t="shared" si="4"/>
        <v>#DIV/0!</v>
      </c>
      <c r="R16" s="64"/>
      <c r="S16" s="65"/>
      <c r="T16" s="25" t="e">
        <f>(S16-R16)/R16</f>
        <v>#DIV/0!</v>
      </c>
      <c r="U16" s="73"/>
      <c r="V16" s="74"/>
      <c r="W16" s="29" t="e">
        <f t="shared" si="6"/>
        <v>#DIV/0!</v>
      </c>
      <c r="X16" s="82"/>
      <c r="Y16" s="83"/>
      <c r="Z16" s="38" t="e">
        <f t="shared" si="7"/>
        <v>#DIV/0!</v>
      </c>
      <c r="AA16" s="55"/>
      <c r="AB16" s="56"/>
      <c r="AC16" s="21" t="e">
        <f t="shared" si="8"/>
        <v>#DIV/0!</v>
      </c>
      <c r="AD16" s="64"/>
      <c r="AE16" s="65"/>
      <c r="AF16" s="25" t="e">
        <f t="shared" si="9"/>
        <v>#DIV/0!</v>
      </c>
      <c r="AG16" s="73"/>
      <c r="AH16" s="74"/>
      <c r="AI16" s="29" t="e">
        <f t="shared" si="10"/>
        <v>#DIV/0!</v>
      </c>
      <c r="AJ16" s="82"/>
      <c r="AK16" s="83"/>
      <c r="AL16" s="38" t="e">
        <f t="shared" si="11"/>
        <v>#DIV/0!</v>
      </c>
      <c r="AM16" s="55"/>
      <c r="AN16" s="56"/>
      <c r="AO16" s="21" t="e">
        <f t="shared" si="12"/>
        <v>#DIV/0!</v>
      </c>
      <c r="AP16" s="64"/>
      <c r="AQ16" s="65"/>
      <c r="AR16" s="25" t="e">
        <f t="shared" si="13"/>
        <v>#DIV/0!</v>
      </c>
      <c r="AS16" s="73"/>
      <c r="AT16" s="74"/>
      <c r="AU16" s="29" t="e">
        <f t="shared" si="14"/>
        <v>#DIV/0!</v>
      </c>
      <c r="AV16" s="82"/>
      <c r="AW16" s="83"/>
      <c r="AX16" s="38" t="e">
        <f t="shared" si="15"/>
        <v>#DIV/0!</v>
      </c>
      <c r="AY16" s="55"/>
      <c r="AZ16" s="56"/>
      <c r="BA16" s="21" t="e">
        <f t="shared" si="16"/>
        <v>#DIV/0!</v>
      </c>
      <c r="BB16" s="64"/>
      <c r="BC16" s="65"/>
      <c r="BD16" s="25" t="e">
        <f t="shared" si="17"/>
        <v>#DIV/0!</v>
      </c>
      <c r="BE16" s="73"/>
      <c r="BF16" s="74"/>
      <c r="BG16" s="29" t="e">
        <f t="shared" si="18"/>
        <v>#DIV/0!</v>
      </c>
      <c r="BH16" s="82"/>
      <c r="BI16" s="83"/>
      <c r="BJ16" s="38" t="e">
        <f t="shared" si="19"/>
        <v>#DIV/0!</v>
      </c>
    </row>
    <row r="17" spans="1:62" x14ac:dyDescent="0.35">
      <c r="A17" s="117"/>
      <c r="B17" s="2" t="s">
        <v>24</v>
      </c>
      <c r="C17" s="52"/>
      <c r="D17" s="86"/>
      <c r="E17" s="20" t="e">
        <f t="shared" si="0"/>
        <v>#DIV/0!</v>
      </c>
      <c r="F17" s="61"/>
      <c r="G17" s="87"/>
      <c r="H17" s="24" t="e">
        <f t="shared" si="1"/>
        <v>#DIV/0!</v>
      </c>
      <c r="I17" s="70"/>
      <c r="J17" s="88"/>
      <c r="K17" s="28" t="e">
        <f t="shared" si="2"/>
        <v>#DIV/0!</v>
      </c>
      <c r="L17" s="79"/>
      <c r="M17" s="89"/>
      <c r="N17" s="32" t="e">
        <f t="shared" si="3"/>
        <v>#DIV/0!</v>
      </c>
      <c r="O17" s="52"/>
      <c r="P17" s="86"/>
      <c r="Q17" s="20" t="e">
        <f t="shared" si="4"/>
        <v>#DIV/0!</v>
      </c>
      <c r="R17" s="61"/>
      <c r="S17" s="87"/>
      <c r="T17" s="24" t="e">
        <f t="shared" si="5"/>
        <v>#DIV/0!</v>
      </c>
      <c r="U17" s="70"/>
      <c r="V17" s="88"/>
      <c r="W17" s="28" t="e">
        <f t="shared" si="6"/>
        <v>#DIV/0!</v>
      </c>
      <c r="X17" s="79"/>
      <c r="Y17" s="89"/>
      <c r="Z17" s="37" t="e">
        <f t="shared" si="7"/>
        <v>#DIV/0!</v>
      </c>
      <c r="AA17" s="52"/>
      <c r="AB17" s="86"/>
      <c r="AC17" s="20" t="e">
        <f t="shared" si="8"/>
        <v>#DIV/0!</v>
      </c>
      <c r="AD17" s="61"/>
      <c r="AE17" s="87"/>
      <c r="AF17" s="24" t="e">
        <f t="shared" si="9"/>
        <v>#DIV/0!</v>
      </c>
      <c r="AG17" s="70"/>
      <c r="AH17" s="88"/>
      <c r="AI17" s="28" t="e">
        <f t="shared" si="10"/>
        <v>#DIV/0!</v>
      </c>
      <c r="AJ17" s="79"/>
      <c r="AK17" s="89"/>
      <c r="AL17" s="37" t="e">
        <f t="shared" si="11"/>
        <v>#DIV/0!</v>
      </c>
      <c r="AM17" s="52"/>
      <c r="AN17" s="86"/>
      <c r="AO17" s="20" t="e">
        <f t="shared" si="12"/>
        <v>#DIV/0!</v>
      </c>
      <c r="AP17" s="61"/>
      <c r="AQ17" s="87"/>
      <c r="AR17" s="24" t="e">
        <f t="shared" si="13"/>
        <v>#DIV/0!</v>
      </c>
      <c r="AS17" s="70"/>
      <c r="AT17" s="88"/>
      <c r="AU17" s="28" t="e">
        <f t="shared" si="14"/>
        <v>#DIV/0!</v>
      </c>
      <c r="AV17" s="79"/>
      <c r="AW17" s="89"/>
      <c r="AX17" s="37" t="e">
        <f t="shared" si="15"/>
        <v>#DIV/0!</v>
      </c>
      <c r="AY17" s="52"/>
      <c r="AZ17" s="86"/>
      <c r="BA17" s="20" t="e">
        <f t="shared" si="16"/>
        <v>#DIV/0!</v>
      </c>
      <c r="BB17" s="61"/>
      <c r="BC17" s="87"/>
      <c r="BD17" s="24" t="e">
        <f t="shared" si="17"/>
        <v>#DIV/0!</v>
      </c>
      <c r="BE17" s="70"/>
      <c r="BF17" s="88"/>
      <c r="BG17" s="28" t="e">
        <f t="shared" si="18"/>
        <v>#DIV/0!</v>
      </c>
      <c r="BH17" s="79"/>
      <c r="BI17" s="89"/>
      <c r="BJ17" s="37" t="e">
        <f t="shared" si="19"/>
        <v>#DIV/0!</v>
      </c>
    </row>
    <row r="18" spans="1:62" x14ac:dyDescent="0.35">
      <c r="A18" s="117"/>
      <c r="B18" s="2" t="s">
        <v>25</v>
      </c>
      <c r="C18" s="52"/>
      <c r="D18" s="86"/>
      <c r="E18" s="20" t="e">
        <f t="shared" si="0"/>
        <v>#DIV/0!</v>
      </c>
      <c r="F18" s="61"/>
      <c r="G18" s="87"/>
      <c r="H18" s="24" t="e">
        <f t="shared" si="1"/>
        <v>#DIV/0!</v>
      </c>
      <c r="I18" s="70"/>
      <c r="J18" s="88"/>
      <c r="K18" s="28" t="e">
        <f t="shared" si="2"/>
        <v>#DIV/0!</v>
      </c>
      <c r="L18" s="79"/>
      <c r="M18" s="89"/>
      <c r="N18" s="32" t="e">
        <f t="shared" si="3"/>
        <v>#DIV/0!</v>
      </c>
      <c r="O18" s="52"/>
      <c r="P18" s="86"/>
      <c r="Q18" s="20" t="e">
        <f t="shared" si="4"/>
        <v>#DIV/0!</v>
      </c>
      <c r="R18" s="61"/>
      <c r="S18" s="87"/>
      <c r="T18" s="24" t="e">
        <f t="shared" si="5"/>
        <v>#DIV/0!</v>
      </c>
      <c r="U18" s="70"/>
      <c r="V18" s="88"/>
      <c r="W18" s="28" t="e">
        <f t="shared" si="6"/>
        <v>#DIV/0!</v>
      </c>
      <c r="X18" s="79"/>
      <c r="Y18" s="89"/>
      <c r="Z18" s="37" t="e">
        <f t="shared" si="7"/>
        <v>#DIV/0!</v>
      </c>
      <c r="AA18" s="52"/>
      <c r="AB18" s="86"/>
      <c r="AC18" s="20" t="e">
        <f t="shared" si="8"/>
        <v>#DIV/0!</v>
      </c>
      <c r="AD18" s="61"/>
      <c r="AE18" s="87"/>
      <c r="AF18" s="24" t="e">
        <f t="shared" si="9"/>
        <v>#DIV/0!</v>
      </c>
      <c r="AG18" s="70"/>
      <c r="AH18" s="88"/>
      <c r="AI18" s="28" t="e">
        <f t="shared" si="10"/>
        <v>#DIV/0!</v>
      </c>
      <c r="AJ18" s="79"/>
      <c r="AK18" s="89"/>
      <c r="AL18" s="37" t="e">
        <f t="shared" si="11"/>
        <v>#DIV/0!</v>
      </c>
      <c r="AM18" s="52"/>
      <c r="AN18" s="86"/>
      <c r="AO18" s="20" t="e">
        <f t="shared" si="12"/>
        <v>#DIV/0!</v>
      </c>
      <c r="AP18" s="61"/>
      <c r="AQ18" s="87"/>
      <c r="AR18" s="24" t="e">
        <f t="shared" si="13"/>
        <v>#DIV/0!</v>
      </c>
      <c r="AS18" s="70"/>
      <c r="AT18" s="88"/>
      <c r="AU18" s="28" t="e">
        <f t="shared" si="14"/>
        <v>#DIV/0!</v>
      </c>
      <c r="AV18" s="79"/>
      <c r="AW18" s="89"/>
      <c r="AX18" s="37" t="e">
        <f t="shared" si="15"/>
        <v>#DIV/0!</v>
      </c>
      <c r="AY18" s="52"/>
      <c r="AZ18" s="86"/>
      <c r="BA18" s="20" t="e">
        <f t="shared" si="16"/>
        <v>#DIV/0!</v>
      </c>
      <c r="BB18" s="61"/>
      <c r="BC18" s="87"/>
      <c r="BD18" s="24" t="e">
        <f t="shared" si="17"/>
        <v>#DIV/0!</v>
      </c>
      <c r="BE18" s="70"/>
      <c r="BF18" s="88"/>
      <c r="BG18" s="28" t="e">
        <f t="shared" si="18"/>
        <v>#DIV/0!</v>
      </c>
      <c r="BH18" s="79"/>
      <c r="BI18" s="89"/>
      <c r="BJ18" s="37" t="e">
        <f t="shared" si="19"/>
        <v>#DIV/0!</v>
      </c>
    </row>
    <row r="19" spans="1:62" ht="15" thickBot="1" x14ac:dyDescent="0.4">
      <c r="A19" s="118"/>
      <c r="B19" s="3" t="s">
        <v>26</v>
      </c>
      <c r="C19" s="53"/>
      <c r="D19" s="54"/>
      <c r="E19" s="20" t="e">
        <f t="shared" si="0"/>
        <v>#DIV/0!</v>
      </c>
      <c r="F19" s="62"/>
      <c r="G19" s="63"/>
      <c r="H19" s="24" t="e">
        <f t="shared" si="1"/>
        <v>#DIV/0!</v>
      </c>
      <c r="I19" s="71"/>
      <c r="J19" s="72"/>
      <c r="K19" s="28" t="e">
        <f t="shared" si="2"/>
        <v>#DIV/0!</v>
      </c>
      <c r="L19" s="80"/>
      <c r="M19" s="81"/>
      <c r="N19" s="32" t="e">
        <f t="shared" si="3"/>
        <v>#DIV/0!</v>
      </c>
      <c r="O19" s="53"/>
      <c r="P19" s="54"/>
      <c r="Q19" s="20" t="e">
        <f t="shared" si="4"/>
        <v>#DIV/0!</v>
      </c>
      <c r="R19" s="62"/>
      <c r="S19" s="63"/>
      <c r="T19" s="24" t="e">
        <f t="shared" si="5"/>
        <v>#DIV/0!</v>
      </c>
      <c r="U19" s="71"/>
      <c r="V19" s="72"/>
      <c r="W19" s="28" t="e">
        <f t="shared" si="6"/>
        <v>#DIV/0!</v>
      </c>
      <c r="X19" s="80"/>
      <c r="Y19" s="81"/>
      <c r="Z19" s="37" t="e">
        <f t="shared" si="7"/>
        <v>#DIV/0!</v>
      </c>
      <c r="AA19" s="53"/>
      <c r="AB19" s="54"/>
      <c r="AC19" s="20" t="e">
        <f t="shared" si="8"/>
        <v>#DIV/0!</v>
      </c>
      <c r="AD19" s="62"/>
      <c r="AE19" s="63"/>
      <c r="AF19" s="24" t="e">
        <f t="shared" si="9"/>
        <v>#DIV/0!</v>
      </c>
      <c r="AG19" s="71"/>
      <c r="AH19" s="72"/>
      <c r="AI19" s="28" t="e">
        <f t="shared" si="10"/>
        <v>#DIV/0!</v>
      </c>
      <c r="AJ19" s="80"/>
      <c r="AK19" s="81"/>
      <c r="AL19" s="37" t="e">
        <f t="shared" si="11"/>
        <v>#DIV/0!</v>
      </c>
      <c r="AM19" s="53"/>
      <c r="AN19" s="54"/>
      <c r="AO19" s="20" t="e">
        <f t="shared" si="12"/>
        <v>#DIV/0!</v>
      </c>
      <c r="AP19" s="62"/>
      <c r="AQ19" s="63"/>
      <c r="AR19" s="24" t="e">
        <f t="shared" si="13"/>
        <v>#DIV/0!</v>
      </c>
      <c r="AS19" s="71"/>
      <c r="AT19" s="72"/>
      <c r="AU19" s="28" t="e">
        <f t="shared" si="14"/>
        <v>#DIV/0!</v>
      </c>
      <c r="AV19" s="80"/>
      <c r="AW19" s="81"/>
      <c r="AX19" s="37" t="e">
        <f t="shared" si="15"/>
        <v>#DIV/0!</v>
      </c>
      <c r="AY19" s="53"/>
      <c r="AZ19" s="54"/>
      <c r="BA19" s="20" t="e">
        <f t="shared" si="16"/>
        <v>#DIV/0!</v>
      </c>
      <c r="BB19" s="62"/>
      <c r="BC19" s="63"/>
      <c r="BD19" s="24" t="e">
        <f t="shared" si="17"/>
        <v>#DIV/0!</v>
      </c>
      <c r="BE19" s="71"/>
      <c r="BF19" s="72"/>
      <c r="BG19" s="28" t="e">
        <f t="shared" si="18"/>
        <v>#DIV/0!</v>
      </c>
      <c r="BH19" s="80"/>
      <c r="BI19" s="81"/>
      <c r="BJ19" s="37" t="e">
        <f t="shared" si="19"/>
        <v>#DIV/0!</v>
      </c>
    </row>
    <row r="20" spans="1:62" x14ac:dyDescent="0.35">
      <c r="A20" s="116" t="s">
        <v>6</v>
      </c>
      <c r="B20" s="1" t="s">
        <v>27</v>
      </c>
      <c r="C20" s="55"/>
      <c r="D20" s="56"/>
      <c r="E20" s="21" t="e">
        <f t="shared" si="0"/>
        <v>#DIV/0!</v>
      </c>
      <c r="F20" s="64"/>
      <c r="G20" s="65"/>
      <c r="H20" s="25" t="e">
        <f t="shared" si="1"/>
        <v>#DIV/0!</v>
      </c>
      <c r="I20" s="73"/>
      <c r="J20" s="74"/>
      <c r="K20" s="29" t="e">
        <f t="shared" si="2"/>
        <v>#DIV/0!</v>
      </c>
      <c r="L20" s="82"/>
      <c r="M20" s="83"/>
      <c r="N20" s="33" t="e">
        <f t="shared" si="3"/>
        <v>#DIV/0!</v>
      </c>
      <c r="O20" s="55"/>
      <c r="P20" s="56"/>
      <c r="Q20" s="21" t="e">
        <f t="shared" si="4"/>
        <v>#DIV/0!</v>
      </c>
      <c r="R20" s="64"/>
      <c r="S20" s="65"/>
      <c r="T20" s="25" t="e">
        <f t="shared" si="5"/>
        <v>#DIV/0!</v>
      </c>
      <c r="U20" s="73"/>
      <c r="V20" s="74"/>
      <c r="W20" s="29" t="e">
        <f t="shared" si="6"/>
        <v>#DIV/0!</v>
      </c>
      <c r="X20" s="82"/>
      <c r="Y20" s="83"/>
      <c r="Z20" s="38" t="e">
        <f t="shared" si="7"/>
        <v>#DIV/0!</v>
      </c>
      <c r="AA20" s="55"/>
      <c r="AB20" s="56"/>
      <c r="AC20" s="21" t="e">
        <f t="shared" si="8"/>
        <v>#DIV/0!</v>
      </c>
      <c r="AD20" s="64"/>
      <c r="AE20" s="65"/>
      <c r="AF20" s="25" t="e">
        <f t="shared" si="9"/>
        <v>#DIV/0!</v>
      </c>
      <c r="AG20" s="73"/>
      <c r="AH20" s="74"/>
      <c r="AI20" s="29" t="e">
        <f t="shared" si="10"/>
        <v>#DIV/0!</v>
      </c>
      <c r="AJ20" s="82"/>
      <c r="AK20" s="83"/>
      <c r="AL20" s="38" t="e">
        <f t="shared" si="11"/>
        <v>#DIV/0!</v>
      </c>
      <c r="AM20" s="55"/>
      <c r="AN20" s="56"/>
      <c r="AO20" s="21" t="e">
        <f t="shared" si="12"/>
        <v>#DIV/0!</v>
      </c>
      <c r="AP20" s="64"/>
      <c r="AQ20" s="65"/>
      <c r="AR20" s="25" t="e">
        <f t="shared" si="13"/>
        <v>#DIV/0!</v>
      </c>
      <c r="AS20" s="73"/>
      <c r="AT20" s="74"/>
      <c r="AU20" s="29" t="e">
        <f t="shared" si="14"/>
        <v>#DIV/0!</v>
      </c>
      <c r="AV20" s="82"/>
      <c r="AW20" s="83"/>
      <c r="AX20" s="38" t="e">
        <f t="shared" si="15"/>
        <v>#DIV/0!</v>
      </c>
      <c r="AY20" s="55"/>
      <c r="AZ20" s="56"/>
      <c r="BA20" s="21" t="e">
        <f t="shared" si="16"/>
        <v>#DIV/0!</v>
      </c>
      <c r="BB20" s="64"/>
      <c r="BC20" s="65"/>
      <c r="BD20" s="25" t="e">
        <f t="shared" si="17"/>
        <v>#DIV/0!</v>
      </c>
      <c r="BE20" s="73"/>
      <c r="BF20" s="74"/>
      <c r="BG20" s="29" t="e">
        <f t="shared" si="18"/>
        <v>#DIV/0!</v>
      </c>
      <c r="BH20" s="82"/>
      <c r="BI20" s="83"/>
      <c r="BJ20" s="38" t="e">
        <f t="shared" si="19"/>
        <v>#DIV/0!</v>
      </c>
    </row>
    <row r="21" spans="1:62" x14ac:dyDescent="0.35">
      <c r="A21" s="117"/>
      <c r="B21" s="2" t="s">
        <v>28</v>
      </c>
      <c r="C21" s="52"/>
      <c r="D21" s="86"/>
      <c r="E21" s="20" t="e">
        <f t="shared" si="0"/>
        <v>#DIV/0!</v>
      </c>
      <c r="F21" s="61"/>
      <c r="G21" s="87"/>
      <c r="H21" s="24" t="e">
        <f t="shared" si="1"/>
        <v>#DIV/0!</v>
      </c>
      <c r="I21" s="70"/>
      <c r="J21" s="88"/>
      <c r="K21" s="28" t="e">
        <f t="shared" si="2"/>
        <v>#DIV/0!</v>
      </c>
      <c r="L21" s="79"/>
      <c r="M21" s="89"/>
      <c r="N21" s="32" t="e">
        <f t="shared" si="3"/>
        <v>#DIV/0!</v>
      </c>
      <c r="O21" s="52"/>
      <c r="P21" s="86"/>
      <c r="Q21" s="20" t="e">
        <f t="shared" si="4"/>
        <v>#DIV/0!</v>
      </c>
      <c r="R21" s="61"/>
      <c r="S21" s="87"/>
      <c r="T21" s="24" t="e">
        <f>(S21-R21)/R21</f>
        <v>#DIV/0!</v>
      </c>
      <c r="U21" s="70"/>
      <c r="V21" s="88"/>
      <c r="W21" s="28" t="e">
        <f t="shared" si="6"/>
        <v>#DIV/0!</v>
      </c>
      <c r="X21" s="79"/>
      <c r="Y21" s="89"/>
      <c r="Z21" s="37" t="e">
        <f t="shared" si="7"/>
        <v>#DIV/0!</v>
      </c>
      <c r="AA21" s="52"/>
      <c r="AB21" s="86"/>
      <c r="AC21" s="20" t="e">
        <f t="shared" si="8"/>
        <v>#DIV/0!</v>
      </c>
      <c r="AD21" s="61"/>
      <c r="AE21" s="87"/>
      <c r="AF21" s="24" t="e">
        <f t="shared" si="9"/>
        <v>#DIV/0!</v>
      </c>
      <c r="AG21" s="70"/>
      <c r="AH21" s="88"/>
      <c r="AI21" s="28" t="e">
        <f t="shared" si="10"/>
        <v>#DIV/0!</v>
      </c>
      <c r="AJ21" s="79"/>
      <c r="AK21" s="89"/>
      <c r="AL21" s="37" t="e">
        <f t="shared" si="11"/>
        <v>#DIV/0!</v>
      </c>
      <c r="AM21" s="52"/>
      <c r="AN21" s="86"/>
      <c r="AO21" s="20" t="e">
        <f t="shared" si="12"/>
        <v>#DIV/0!</v>
      </c>
      <c r="AP21" s="61"/>
      <c r="AQ21" s="87"/>
      <c r="AR21" s="24" t="e">
        <f t="shared" si="13"/>
        <v>#DIV/0!</v>
      </c>
      <c r="AS21" s="70"/>
      <c r="AT21" s="88"/>
      <c r="AU21" s="28" t="e">
        <f t="shared" si="14"/>
        <v>#DIV/0!</v>
      </c>
      <c r="AV21" s="79"/>
      <c r="AW21" s="89"/>
      <c r="AX21" s="37" t="e">
        <f t="shared" si="15"/>
        <v>#DIV/0!</v>
      </c>
      <c r="AY21" s="52"/>
      <c r="AZ21" s="86"/>
      <c r="BA21" s="20" t="e">
        <f t="shared" si="16"/>
        <v>#DIV/0!</v>
      </c>
      <c r="BB21" s="61"/>
      <c r="BC21" s="87"/>
      <c r="BD21" s="24" t="e">
        <f t="shared" si="17"/>
        <v>#DIV/0!</v>
      </c>
      <c r="BE21" s="70"/>
      <c r="BF21" s="88"/>
      <c r="BG21" s="28" t="e">
        <f t="shared" si="18"/>
        <v>#DIV/0!</v>
      </c>
      <c r="BH21" s="79"/>
      <c r="BI21" s="89"/>
      <c r="BJ21" s="37" t="e">
        <f t="shared" si="19"/>
        <v>#DIV/0!</v>
      </c>
    </row>
    <row r="22" spans="1:62" x14ac:dyDescent="0.35">
      <c r="A22" s="117"/>
      <c r="B22" s="2" t="s">
        <v>29</v>
      </c>
      <c r="C22" s="52"/>
      <c r="D22" s="86"/>
      <c r="E22" s="20" t="e">
        <f t="shared" si="0"/>
        <v>#DIV/0!</v>
      </c>
      <c r="F22" s="61"/>
      <c r="G22" s="87"/>
      <c r="H22" s="24" t="e">
        <f t="shared" si="1"/>
        <v>#DIV/0!</v>
      </c>
      <c r="I22" s="70"/>
      <c r="J22" s="88"/>
      <c r="K22" s="28" t="e">
        <f t="shared" si="2"/>
        <v>#DIV/0!</v>
      </c>
      <c r="L22" s="79"/>
      <c r="M22" s="89"/>
      <c r="N22" s="32" t="e">
        <f t="shared" si="3"/>
        <v>#DIV/0!</v>
      </c>
      <c r="O22" s="52"/>
      <c r="P22" s="86"/>
      <c r="Q22" s="20" t="e">
        <f t="shared" si="4"/>
        <v>#DIV/0!</v>
      </c>
      <c r="R22" s="61"/>
      <c r="S22" s="87"/>
      <c r="T22" s="24" t="e">
        <f t="shared" si="5"/>
        <v>#DIV/0!</v>
      </c>
      <c r="U22" s="70"/>
      <c r="V22" s="88"/>
      <c r="W22" s="28" t="e">
        <f t="shared" si="6"/>
        <v>#DIV/0!</v>
      </c>
      <c r="X22" s="79"/>
      <c r="Y22" s="89"/>
      <c r="Z22" s="37" t="e">
        <f t="shared" si="7"/>
        <v>#DIV/0!</v>
      </c>
      <c r="AA22" s="52"/>
      <c r="AB22" s="86"/>
      <c r="AC22" s="20" t="e">
        <f t="shared" si="8"/>
        <v>#DIV/0!</v>
      </c>
      <c r="AD22" s="61"/>
      <c r="AE22" s="87"/>
      <c r="AF22" s="24" t="e">
        <f t="shared" si="9"/>
        <v>#DIV/0!</v>
      </c>
      <c r="AG22" s="70"/>
      <c r="AH22" s="88"/>
      <c r="AI22" s="28" t="e">
        <f t="shared" si="10"/>
        <v>#DIV/0!</v>
      </c>
      <c r="AJ22" s="79"/>
      <c r="AK22" s="89"/>
      <c r="AL22" s="37" t="e">
        <f t="shared" si="11"/>
        <v>#DIV/0!</v>
      </c>
      <c r="AM22" s="52"/>
      <c r="AN22" s="86"/>
      <c r="AO22" s="20" t="e">
        <f t="shared" si="12"/>
        <v>#DIV/0!</v>
      </c>
      <c r="AP22" s="61"/>
      <c r="AQ22" s="87"/>
      <c r="AR22" s="24" t="e">
        <f t="shared" si="13"/>
        <v>#DIV/0!</v>
      </c>
      <c r="AS22" s="70"/>
      <c r="AT22" s="88"/>
      <c r="AU22" s="28" t="e">
        <f t="shared" si="14"/>
        <v>#DIV/0!</v>
      </c>
      <c r="AV22" s="79"/>
      <c r="AW22" s="89"/>
      <c r="AX22" s="37" t="e">
        <f t="shared" si="15"/>
        <v>#DIV/0!</v>
      </c>
      <c r="AY22" s="52"/>
      <c r="AZ22" s="86"/>
      <c r="BA22" s="20" t="e">
        <f t="shared" si="16"/>
        <v>#DIV/0!</v>
      </c>
      <c r="BB22" s="61"/>
      <c r="BC22" s="87"/>
      <c r="BD22" s="24" t="e">
        <f t="shared" si="17"/>
        <v>#DIV/0!</v>
      </c>
      <c r="BE22" s="70"/>
      <c r="BF22" s="88"/>
      <c r="BG22" s="28" t="e">
        <f t="shared" si="18"/>
        <v>#DIV/0!</v>
      </c>
      <c r="BH22" s="79"/>
      <c r="BI22" s="89"/>
      <c r="BJ22" s="37" t="e">
        <f t="shared" si="19"/>
        <v>#DIV/0!</v>
      </c>
    </row>
    <row r="23" spans="1:62" ht="15" thickBot="1" x14ac:dyDescent="0.4">
      <c r="A23" s="118"/>
      <c r="B23" s="3" t="s">
        <v>30</v>
      </c>
      <c r="C23" s="53"/>
      <c r="D23" s="54"/>
      <c r="E23" s="20" t="e">
        <f t="shared" si="0"/>
        <v>#DIV/0!</v>
      </c>
      <c r="F23" s="62"/>
      <c r="G23" s="63"/>
      <c r="H23" s="24" t="e">
        <f t="shared" si="1"/>
        <v>#DIV/0!</v>
      </c>
      <c r="I23" s="71"/>
      <c r="J23" s="72"/>
      <c r="K23" s="28" t="e">
        <f t="shared" si="2"/>
        <v>#DIV/0!</v>
      </c>
      <c r="L23" s="80"/>
      <c r="M23" s="81"/>
      <c r="N23" s="32" t="e">
        <f t="shared" si="3"/>
        <v>#DIV/0!</v>
      </c>
      <c r="O23" s="53"/>
      <c r="P23" s="54"/>
      <c r="Q23" s="20" t="e">
        <f t="shared" si="4"/>
        <v>#DIV/0!</v>
      </c>
      <c r="R23" s="62"/>
      <c r="S23" s="63"/>
      <c r="T23" s="24" t="e">
        <f t="shared" si="5"/>
        <v>#DIV/0!</v>
      </c>
      <c r="U23" s="71"/>
      <c r="V23" s="72"/>
      <c r="W23" s="28" t="e">
        <f t="shared" si="6"/>
        <v>#DIV/0!</v>
      </c>
      <c r="X23" s="80"/>
      <c r="Y23" s="81"/>
      <c r="Z23" s="37" t="e">
        <f t="shared" si="7"/>
        <v>#DIV/0!</v>
      </c>
      <c r="AA23" s="53"/>
      <c r="AB23" s="54"/>
      <c r="AC23" s="20" t="e">
        <f t="shared" si="8"/>
        <v>#DIV/0!</v>
      </c>
      <c r="AD23" s="62"/>
      <c r="AE23" s="63"/>
      <c r="AF23" s="24" t="e">
        <f t="shared" si="9"/>
        <v>#DIV/0!</v>
      </c>
      <c r="AG23" s="71"/>
      <c r="AH23" s="72"/>
      <c r="AI23" s="28" t="e">
        <f t="shared" si="10"/>
        <v>#DIV/0!</v>
      </c>
      <c r="AJ23" s="80"/>
      <c r="AK23" s="81"/>
      <c r="AL23" s="37" t="e">
        <f t="shared" si="11"/>
        <v>#DIV/0!</v>
      </c>
      <c r="AM23" s="53"/>
      <c r="AN23" s="54"/>
      <c r="AO23" s="20" t="e">
        <f t="shared" si="12"/>
        <v>#DIV/0!</v>
      </c>
      <c r="AP23" s="62"/>
      <c r="AQ23" s="63"/>
      <c r="AR23" s="24" t="e">
        <f t="shared" si="13"/>
        <v>#DIV/0!</v>
      </c>
      <c r="AS23" s="71"/>
      <c r="AT23" s="72"/>
      <c r="AU23" s="28" t="e">
        <f t="shared" si="14"/>
        <v>#DIV/0!</v>
      </c>
      <c r="AV23" s="80"/>
      <c r="AW23" s="81"/>
      <c r="AX23" s="37" t="e">
        <f t="shared" si="15"/>
        <v>#DIV/0!</v>
      </c>
      <c r="AY23" s="53"/>
      <c r="AZ23" s="54"/>
      <c r="BA23" s="20" t="e">
        <f t="shared" si="16"/>
        <v>#DIV/0!</v>
      </c>
      <c r="BB23" s="62"/>
      <c r="BC23" s="63"/>
      <c r="BD23" s="24" t="e">
        <f t="shared" si="17"/>
        <v>#DIV/0!</v>
      </c>
      <c r="BE23" s="71"/>
      <c r="BF23" s="72"/>
      <c r="BG23" s="28" t="e">
        <f t="shared" si="18"/>
        <v>#DIV/0!</v>
      </c>
      <c r="BH23" s="80"/>
      <c r="BI23" s="81"/>
      <c r="BJ23" s="37" t="e">
        <f t="shared" si="19"/>
        <v>#DIV/0!</v>
      </c>
    </row>
    <row r="24" spans="1:62" x14ac:dyDescent="0.35">
      <c r="A24" s="116" t="s">
        <v>7</v>
      </c>
      <c r="B24" s="1" t="s">
        <v>31</v>
      </c>
      <c r="C24" s="55"/>
      <c r="D24" s="56"/>
      <c r="E24" s="21" t="e">
        <f t="shared" si="0"/>
        <v>#DIV/0!</v>
      </c>
      <c r="F24" s="64"/>
      <c r="G24" s="65"/>
      <c r="H24" s="25" t="e">
        <f t="shared" si="1"/>
        <v>#DIV/0!</v>
      </c>
      <c r="I24" s="73"/>
      <c r="J24" s="74"/>
      <c r="K24" s="29" t="e">
        <f t="shared" si="2"/>
        <v>#DIV/0!</v>
      </c>
      <c r="L24" s="82"/>
      <c r="M24" s="83"/>
      <c r="N24" s="33" t="e">
        <f t="shared" si="3"/>
        <v>#DIV/0!</v>
      </c>
      <c r="O24" s="55"/>
      <c r="P24" s="56"/>
      <c r="Q24" s="21" t="e">
        <f t="shared" si="4"/>
        <v>#DIV/0!</v>
      </c>
      <c r="R24" s="64"/>
      <c r="S24" s="65"/>
      <c r="T24" s="25" t="e">
        <f t="shared" si="5"/>
        <v>#DIV/0!</v>
      </c>
      <c r="U24" s="73"/>
      <c r="V24" s="74"/>
      <c r="W24" s="29" t="e">
        <f t="shared" si="6"/>
        <v>#DIV/0!</v>
      </c>
      <c r="X24" s="82"/>
      <c r="Y24" s="83"/>
      <c r="Z24" s="38" t="e">
        <f t="shared" si="7"/>
        <v>#DIV/0!</v>
      </c>
      <c r="AA24" s="55"/>
      <c r="AB24" s="56"/>
      <c r="AC24" s="21" t="e">
        <f t="shared" si="8"/>
        <v>#DIV/0!</v>
      </c>
      <c r="AD24" s="64"/>
      <c r="AE24" s="65"/>
      <c r="AF24" s="25" t="e">
        <f t="shared" si="9"/>
        <v>#DIV/0!</v>
      </c>
      <c r="AG24" s="73"/>
      <c r="AH24" s="74"/>
      <c r="AI24" s="29" t="e">
        <f t="shared" si="10"/>
        <v>#DIV/0!</v>
      </c>
      <c r="AJ24" s="82"/>
      <c r="AK24" s="83"/>
      <c r="AL24" s="38" t="e">
        <f t="shared" si="11"/>
        <v>#DIV/0!</v>
      </c>
      <c r="AM24" s="55"/>
      <c r="AN24" s="56"/>
      <c r="AO24" s="21" t="e">
        <f t="shared" si="12"/>
        <v>#DIV/0!</v>
      </c>
      <c r="AP24" s="64"/>
      <c r="AQ24" s="65"/>
      <c r="AR24" s="25" t="e">
        <f t="shared" si="13"/>
        <v>#DIV/0!</v>
      </c>
      <c r="AS24" s="73"/>
      <c r="AT24" s="74"/>
      <c r="AU24" s="29" t="e">
        <f t="shared" si="14"/>
        <v>#DIV/0!</v>
      </c>
      <c r="AV24" s="82"/>
      <c r="AW24" s="83"/>
      <c r="AX24" s="38" t="e">
        <f t="shared" si="15"/>
        <v>#DIV/0!</v>
      </c>
      <c r="AY24" s="55"/>
      <c r="AZ24" s="56"/>
      <c r="BA24" s="21" t="e">
        <f t="shared" si="16"/>
        <v>#DIV/0!</v>
      </c>
      <c r="BB24" s="64"/>
      <c r="BC24" s="65"/>
      <c r="BD24" s="25" t="e">
        <f t="shared" si="17"/>
        <v>#DIV/0!</v>
      </c>
      <c r="BE24" s="73"/>
      <c r="BF24" s="74"/>
      <c r="BG24" s="29" t="e">
        <f t="shared" si="18"/>
        <v>#DIV/0!</v>
      </c>
      <c r="BH24" s="82"/>
      <c r="BI24" s="83"/>
      <c r="BJ24" s="38" t="e">
        <f t="shared" si="19"/>
        <v>#DIV/0!</v>
      </c>
    </row>
    <row r="25" spans="1:62" x14ac:dyDescent="0.35">
      <c r="A25" s="117"/>
      <c r="B25" s="2" t="s">
        <v>32</v>
      </c>
      <c r="C25" s="52"/>
      <c r="D25" s="86"/>
      <c r="E25" s="20" t="e">
        <f t="shared" si="0"/>
        <v>#DIV/0!</v>
      </c>
      <c r="F25" s="61"/>
      <c r="G25" s="87"/>
      <c r="H25" s="24" t="e">
        <f t="shared" si="1"/>
        <v>#DIV/0!</v>
      </c>
      <c r="I25" s="70"/>
      <c r="J25" s="88"/>
      <c r="K25" s="28" t="e">
        <f t="shared" si="2"/>
        <v>#DIV/0!</v>
      </c>
      <c r="L25" s="79"/>
      <c r="M25" s="89"/>
      <c r="N25" s="32" t="e">
        <f t="shared" si="3"/>
        <v>#DIV/0!</v>
      </c>
      <c r="O25" s="52"/>
      <c r="P25" s="86"/>
      <c r="Q25" s="20" t="e">
        <f t="shared" si="4"/>
        <v>#DIV/0!</v>
      </c>
      <c r="R25" s="61"/>
      <c r="S25" s="87"/>
      <c r="T25" s="24" t="e">
        <f t="shared" si="5"/>
        <v>#DIV/0!</v>
      </c>
      <c r="U25" s="70"/>
      <c r="V25" s="88"/>
      <c r="W25" s="28" t="e">
        <f t="shared" si="6"/>
        <v>#DIV/0!</v>
      </c>
      <c r="X25" s="79"/>
      <c r="Y25" s="89"/>
      <c r="Z25" s="37" t="e">
        <f t="shared" si="7"/>
        <v>#DIV/0!</v>
      </c>
      <c r="AA25" s="52"/>
      <c r="AB25" s="86"/>
      <c r="AC25" s="20" t="e">
        <f t="shared" si="8"/>
        <v>#DIV/0!</v>
      </c>
      <c r="AD25" s="61"/>
      <c r="AE25" s="87"/>
      <c r="AF25" s="24" t="e">
        <f t="shared" si="9"/>
        <v>#DIV/0!</v>
      </c>
      <c r="AG25" s="70"/>
      <c r="AH25" s="88"/>
      <c r="AI25" s="28" t="e">
        <f t="shared" si="10"/>
        <v>#DIV/0!</v>
      </c>
      <c r="AJ25" s="79"/>
      <c r="AK25" s="89"/>
      <c r="AL25" s="37" t="e">
        <f t="shared" si="11"/>
        <v>#DIV/0!</v>
      </c>
      <c r="AM25" s="52"/>
      <c r="AN25" s="86"/>
      <c r="AO25" s="20" t="e">
        <f t="shared" si="12"/>
        <v>#DIV/0!</v>
      </c>
      <c r="AP25" s="61"/>
      <c r="AQ25" s="87"/>
      <c r="AR25" s="24" t="e">
        <f t="shared" si="13"/>
        <v>#DIV/0!</v>
      </c>
      <c r="AS25" s="70"/>
      <c r="AT25" s="88"/>
      <c r="AU25" s="28" t="e">
        <f t="shared" si="14"/>
        <v>#DIV/0!</v>
      </c>
      <c r="AV25" s="79"/>
      <c r="AW25" s="89"/>
      <c r="AX25" s="37" t="e">
        <f t="shared" si="15"/>
        <v>#DIV/0!</v>
      </c>
      <c r="AY25" s="52"/>
      <c r="AZ25" s="86"/>
      <c r="BA25" s="20" t="e">
        <f t="shared" si="16"/>
        <v>#DIV/0!</v>
      </c>
      <c r="BB25" s="61"/>
      <c r="BC25" s="87"/>
      <c r="BD25" s="24" t="e">
        <f t="shared" si="17"/>
        <v>#DIV/0!</v>
      </c>
      <c r="BE25" s="70"/>
      <c r="BF25" s="88"/>
      <c r="BG25" s="28" t="e">
        <f t="shared" si="18"/>
        <v>#DIV/0!</v>
      </c>
      <c r="BH25" s="79"/>
      <c r="BI25" s="89"/>
      <c r="BJ25" s="37" t="e">
        <f t="shared" si="19"/>
        <v>#DIV/0!</v>
      </c>
    </row>
    <row r="26" spans="1:62" x14ac:dyDescent="0.35">
      <c r="A26" s="117"/>
      <c r="B26" s="2" t="s">
        <v>33</v>
      </c>
      <c r="C26" s="52"/>
      <c r="D26" s="86"/>
      <c r="E26" s="20" t="e">
        <f t="shared" si="0"/>
        <v>#DIV/0!</v>
      </c>
      <c r="F26" s="61"/>
      <c r="G26" s="87"/>
      <c r="H26" s="24" t="e">
        <f t="shared" si="1"/>
        <v>#DIV/0!</v>
      </c>
      <c r="I26" s="70"/>
      <c r="J26" s="88"/>
      <c r="K26" s="28" t="e">
        <f t="shared" si="2"/>
        <v>#DIV/0!</v>
      </c>
      <c r="L26" s="79"/>
      <c r="M26" s="89"/>
      <c r="N26" s="32" t="e">
        <f t="shared" si="3"/>
        <v>#DIV/0!</v>
      </c>
      <c r="O26" s="52"/>
      <c r="P26" s="86"/>
      <c r="Q26" s="20" t="e">
        <f t="shared" si="4"/>
        <v>#DIV/0!</v>
      </c>
      <c r="R26" s="61"/>
      <c r="S26" s="87"/>
      <c r="T26" s="24" t="e">
        <f t="shared" si="5"/>
        <v>#DIV/0!</v>
      </c>
      <c r="U26" s="70"/>
      <c r="V26" s="88"/>
      <c r="W26" s="28" t="e">
        <f t="shared" si="6"/>
        <v>#DIV/0!</v>
      </c>
      <c r="X26" s="79"/>
      <c r="Y26" s="89"/>
      <c r="Z26" s="37" t="e">
        <f t="shared" si="7"/>
        <v>#DIV/0!</v>
      </c>
      <c r="AA26" s="52"/>
      <c r="AB26" s="86"/>
      <c r="AC26" s="20" t="e">
        <f t="shared" si="8"/>
        <v>#DIV/0!</v>
      </c>
      <c r="AD26" s="61"/>
      <c r="AE26" s="87"/>
      <c r="AF26" s="24" t="e">
        <f t="shared" si="9"/>
        <v>#DIV/0!</v>
      </c>
      <c r="AG26" s="70"/>
      <c r="AH26" s="88"/>
      <c r="AI26" s="28" t="e">
        <f t="shared" si="10"/>
        <v>#DIV/0!</v>
      </c>
      <c r="AJ26" s="79"/>
      <c r="AK26" s="89"/>
      <c r="AL26" s="37" t="e">
        <f t="shared" si="11"/>
        <v>#DIV/0!</v>
      </c>
      <c r="AM26" s="52"/>
      <c r="AN26" s="86"/>
      <c r="AO26" s="20" t="e">
        <f t="shared" si="12"/>
        <v>#DIV/0!</v>
      </c>
      <c r="AP26" s="61"/>
      <c r="AQ26" s="87"/>
      <c r="AR26" s="24" t="e">
        <f t="shared" si="13"/>
        <v>#DIV/0!</v>
      </c>
      <c r="AS26" s="70"/>
      <c r="AT26" s="88"/>
      <c r="AU26" s="28" t="e">
        <f t="shared" si="14"/>
        <v>#DIV/0!</v>
      </c>
      <c r="AV26" s="79"/>
      <c r="AW26" s="89"/>
      <c r="AX26" s="37" t="e">
        <f t="shared" si="15"/>
        <v>#DIV/0!</v>
      </c>
      <c r="AY26" s="52"/>
      <c r="AZ26" s="86"/>
      <c r="BA26" s="20" t="e">
        <f t="shared" si="16"/>
        <v>#DIV/0!</v>
      </c>
      <c r="BB26" s="61"/>
      <c r="BC26" s="87"/>
      <c r="BD26" s="24" t="e">
        <f t="shared" si="17"/>
        <v>#DIV/0!</v>
      </c>
      <c r="BE26" s="70"/>
      <c r="BF26" s="88"/>
      <c r="BG26" s="28" t="e">
        <f t="shared" si="18"/>
        <v>#DIV/0!</v>
      </c>
      <c r="BH26" s="79"/>
      <c r="BI26" s="89"/>
      <c r="BJ26" s="37" t="e">
        <f t="shared" si="19"/>
        <v>#DIV/0!</v>
      </c>
    </row>
    <row r="27" spans="1:62" ht="15" thickBot="1" x14ac:dyDescent="0.4">
      <c r="A27" s="118"/>
      <c r="B27" s="3" t="s">
        <v>34</v>
      </c>
      <c r="C27" s="57"/>
      <c r="D27" s="58"/>
      <c r="E27" s="22" t="e">
        <f t="shared" si="0"/>
        <v>#DIV/0!</v>
      </c>
      <c r="F27" s="66"/>
      <c r="G27" s="67"/>
      <c r="H27" s="26" t="e">
        <f t="shared" si="1"/>
        <v>#DIV/0!</v>
      </c>
      <c r="I27" s="75"/>
      <c r="J27" s="76"/>
      <c r="K27" s="30" t="e">
        <f t="shared" si="2"/>
        <v>#DIV/0!</v>
      </c>
      <c r="L27" s="84"/>
      <c r="M27" s="85"/>
      <c r="N27" s="34" t="e">
        <f t="shared" si="3"/>
        <v>#DIV/0!</v>
      </c>
      <c r="O27" s="57"/>
      <c r="P27" s="58"/>
      <c r="Q27" s="22" t="e">
        <f t="shared" si="4"/>
        <v>#DIV/0!</v>
      </c>
      <c r="R27" s="66"/>
      <c r="S27" s="67"/>
      <c r="T27" s="26" t="e">
        <f t="shared" si="5"/>
        <v>#DIV/0!</v>
      </c>
      <c r="U27" s="75"/>
      <c r="V27" s="76"/>
      <c r="W27" s="30" t="e">
        <f t="shared" si="6"/>
        <v>#DIV/0!</v>
      </c>
      <c r="X27" s="84"/>
      <c r="Y27" s="85"/>
      <c r="Z27" s="39" t="e">
        <f t="shared" si="7"/>
        <v>#DIV/0!</v>
      </c>
      <c r="AA27" s="57"/>
      <c r="AB27" s="58"/>
      <c r="AC27" s="22" t="e">
        <f t="shared" si="8"/>
        <v>#DIV/0!</v>
      </c>
      <c r="AD27" s="66"/>
      <c r="AE27" s="67"/>
      <c r="AF27" s="26" t="e">
        <f t="shared" si="9"/>
        <v>#DIV/0!</v>
      </c>
      <c r="AG27" s="75"/>
      <c r="AH27" s="76"/>
      <c r="AI27" s="30" t="e">
        <f t="shared" si="10"/>
        <v>#DIV/0!</v>
      </c>
      <c r="AJ27" s="84"/>
      <c r="AK27" s="85"/>
      <c r="AL27" s="39" t="e">
        <f t="shared" si="11"/>
        <v>#DIV/0!</v>
      </c>
      <c r="AM27" s="57"/>
      <c r="AN27" s="58"/>
      <c r="AO27" s="22" t="e">
        <f t="shared" si="12"/>
        <v>#DIV/0!</v>
      </c>
      <c r="AP27" s="66"/>
      <c r="AQ27" s="67"/>
      <c r="AR27" s="26" t="e">
        <f t="shared" si="13"/>
        <v>#DIV/0!</v>
      </c>
      <c r="AS27" s="75"/>
      <c r="AT27" s="76"/>
      <c r="AU27" s="30" t="e">
        <f t="shared" si="14"/>
        <v>#DIV/0!</v>
      </c>
      <c r="AV27" s="84"/>
      <c r="AW27" s="85"/>
      <c r="AX27" s="39" t="e">
        <f t="shared" si="15"/>
        <v>#DIV/0!</v>
      </c>
      <c r="AY27" s="57"/>
      <c r="AZ27" s="58"/>
      <c r="BA27" s="22" t="e">
        <f t="shared" si="16"/>
        <v>#DIV/0!</v>
      </c>
      <c r="BB27" s="66"/>
      <c r="BC27" s="67"/>
      <c r="BD27" s="26" t="e">
        <f t="shared" si="17"/>
        <v>#DIV/0!</v>
      </c>
      <c r="BE27" s="75"/>
      <c r="BF27" s="76"/>
      <c r="BG27" s="30" t="e">
        <f t="shared" si="18"/>
        <v>#DIV/0!</v>
      </c>
      <c r="BH27" s="84"/>
      <c r="BI27" s="85"/>
      <c r="BJ27" s="39" t="e">
        <f t="shared" si="19"/>
        <v>#DIV/0!</v>
      </c>
    </row>
    <row r="28" spans="1:62" x14ac:dyDescent="0.35">
      <c r="D28" t="s">
        <v>41</v>
      </c>
      <c r="E28" s="20" cm="1">
        <f t="array" ref="E28">AVERAGE(ABS(E4:E15))</f>
        <v>1.6611418247179177</v>
      </c>
      <c r="G28" t="s">
        <v>41</v>
      </c>
      <c r="H28" s="24" cm="1">
        <f t="array" ref="H28">AVERAGE(ABS(H4:H15))</f>
        <v>0.16562650636596546</v>
      </c>
      <c r="J28" t="s">
        <v>41</v>
      </c>
      <c r="K28" s="28" cm="1">
        <f t="array" ref="K28">AVERAGE(ABS(K4:K15))</f>
        <v>0.10722202342334754</v>
      </c>
      <c r="M28" t="s">
        <v>41</v>
      </c>
      <c r="N28" s="35" cm="1">
        <f t="array" ref="N28">AVERAGE(ABS(N4:N15))</f>
        <v>5.9682965378486989E-2</v>
      </c>
      <c r="P28" t="s">
        <v>41</v>
      </c>
      <c r="Q28" s="20" cm="1">
        <f t="array" ref="Q28">AVERAGE(ABS(Q4:Q15))</f>
        <v>2.6171126308932747E-2</v>
      </c>
      <c r="S28" t="s">
        <v>41</v>
      </c>
      <c r="T28" s="24" cm="1">
        <f t="array" ref="T28">AVERAGE(ABS(T4:T15))</f>
        <v>8.5484478771713241E-3</v>
      </c>
      <c r="V28" t="s">
        <v>41</v>
      </c>
      <c r="W28" s="28" cm="1">
        <f t="array" ref="W28">AVERAGE(ABS(W4:W15))</f>
        <v>3.1791066851724887E-3</v>
      </c>
      <c r="Y28" t="s">
        <v>41</v>
      </c>
      <c r="Z28" s="35" cm="1">
        <f t="array" ref="Z28">AVERAGE(ABS(Z4:Z15))</f>
        <v>1.9053262849441227E-3</v>
      </c>
      <c r="AB28" t="s">
        <v>41</v>
      </c>
      <c r="AC28" s="20" cm="1">
        <f t="array" ref="AC28">AVERAGE(ABS(AC4:AC15))</f>
        <v>1.5702437267527654</v>
      </c>
      <c r="AE28" t="s">
        <v>41</v>
      </c>
      <c r="AF28" s="24" cm="1">
        <f t="array" ref="AF28">AVERAGE(ABS(AF4:AF15))</f>
        <v>0.1640354173885189</v>
      </c>
      <c r="AH28" t="s">
        <v>41</v>
      </c>
      <c r="AI28" s="28" cm="1">
        <f t="array" ref="AI28">AVERAGE(ABS(AI4:AI15))</f>
        <v>0.10536782143871931</v>
      </c>
      <c r="AK28" t="s">
        <v>41</v>
      </c>
      <c r="AL28" s="35" cm="1">
        <f t="array" ref="AL28">AVERAGE(ABS(AL4:AL15))</f>
        <v>5.8787022517720826E-2</v>
      </c>
      <c r="AN28" t="s">
        <v>41</v>
      </c>
      <c r="AO28" s="20" cm="1">
        <f t="array" ref="AO28">AVERAGE(ABS(AO4:AO15))</f>
        <v>2.4423915874920311E-2</v>
      </c>
      <c r="AQ28" t="s">
        <v>41</v>
      </c>
      <c r="AR28" s="24" cm="1">
        <f t="array" ref="AR28">AVERAGE(ABS(AR4:AR15))</f>
        <v>8.9070923434570615E-3</v>
      </c>
      <c r="AT28" t="s">
        <v>41</v>
      </c>
      <c r="AU28" s="28" cm="1">
        <f t="array" ref="AU28">AVERAGE(ABS(AU4:AU15))</f>
        <v>3.3766136751378823E-3</v>
      </c>
      <c r="AW28" t="s">
        <v>41</v>
      </c>
      <c r="AX28" s="35" cm="1">
        <f t="array" ref="AX28">AVERAGE(ABS(AX4:AX15))</f>
        <v>1.9288789392539083E-3</v>
      </c>
      <c r="AZ28" t="s">
        <v>41</v>
      </c>
      <c r="BA28" s="20" cm="1">
        <f t="array" ref="BA28">AVERAGE(ABS(BA4:BA15))</f>
        <v>0.94916744185995283</v>
      </c>
      <c r="BC28" t="s">
        <v>41</v>
      </c>
      <c r="BD28" s="24" cm="1">
        <f t="array" ref="BD28">AVERAGE(ABS(BD4:BD15))</f>
        <v>0.16437372396588582</v>
      </c>
      <c r="BF28" t="s">
        <v>41</v>
      </c>
      <c r="BG28" s="28" cm="1">
        <f t="array" ref="BG28">AVERAGE(ABS(BG4:BG15))</f>
        <v>0.10165541517862074</v>
      </c>
      <c r="BI28" t="s">
        <v>41</v>
      </c>
      <c r="BJ28" s="35" cm="1">
        <f t="array" ref="BJ28">AVERAGE(ABS(BJ4:BJ15))</f>
        <v>6.2353531524908447E-2</v>
      </c>
    </row>
    <row r="29" spans="1:62" x14ac:dyDescent="0.35">
      <c r="D29" t="s">
        <v>42</v>
      </c>
      <c r="E29" s="20" cm="1">
        <f t="array" ref="E29">MAX(ABS(E4:E15))</f>
        <v>7.6732308766186872</v>
      </c>
      <c r="G29" t="s">
        <v>42</v>
      </c>
      <c r="H29" s="24" cm="1">
        <f t="array" ref="H29">MAX(ABS(H4:H15))</f>
        <v>0.38433799454487655</v>
      </c>
      <c r="J29" t="s">
        <v>42</v>
      </c>
      <c r="K29" s="28" cm="1">
        <f t="array" ref="K29">MAX(ABS(K4:K15))</f>
        <v>0.17100264486655448</v>
      </c>
      <c r="M29" t="s">
        <v>42</v>
      </c>
      <c r="N29" s="35" cm="1">
        <f t="array" ref="N29">MAX(ABS(N4:N15))</f>
        <v>0.16399632615573023</v>
      </c>
      <c r="P29" t="s">
        <v>42</v>
      </c>
      <c r="Q29" s="20" cm="1">
        <f t="array" ref="Q29">MAX(ABS(Q4:Q15))</f>
        <v>8.8091222531466742E-2</v>
      </c>
      <c r="S29" t="s">
        <v>42</v>
      </c>
      <c r="T29" s="24" cm="1">
        <f t="array" ref="T29">MAX(ABS(T4:T15))</f>
        <v>4.8249342238413206E-2</v>
      </c>
      <c r="V29" t="s">
        <v>42</v>
      </c>
      <c r="W29" s="28" cm="1">
        <f t="array" ref="W29">MAX(ABS(W4:W15))</f>
        <v>1.1725377830215119E-2</v>
      </c>
      <c r="Y29" t="s">
        <v>42</v>
      </c>
      <c r="Z29" s="35" cm="1">
        <f t="array" ref="Z29">MAX(ABS(Z4:Z15))</f>
        <v>6.0207991242473445E-3</v>
      </c>
      <c r="AB29" t="s">
        <v>42</v>
      </c>
      <c r="AC29" s="20" cm="1">
        <f t="array" ref="AC29">MAX(ABS(AC4:AC15))</f>
        <v>6.9922345111442734</v>
      </c>
      <c r="AE29" t="s">
        <v>42</v>
      </c>
      <c r="AF29" s="24" cm="1">
        <f t="array" ref="AF29">MAX(ABS(AF4:AF15))</f>
        <v>0.38206223749309753</v>
      </c>
      <c r="AH29" t="s">
        <v>42</v>
      </c>
      <c r="AI29" s="28" cm="1">
        <f t="array" ref="AI29">MAX(ABS(AI4:AI15))</f>
        <v>0.16969824477037762</v>
      </c>
      <c r="AK29" t="s">
        <v>42</v>
      </c>
      <c r="AL29" s="35" cm="1">
        <f t="array" ref="AL29">MAX(ABS(AL4:AL15))</f>
        <v>0.16226145525053581</v>
      </c>
      <c r="AN29" t="s">
        <v>42</v>
      </c>
      <c r="AO29" s="20" cm="1">
        <f t="array" ref="AO29">MAX(ABS(AO4:AO15))</f>
        <v>9.1288788269015125E-2</v>
      </c>
      <c r="AQ29" t="s">
        <v>42</v>
      </c>
      <c r="AR29" s="24" cm="1">
        <f t="array" ref="AR29">MAX(ABS(AR4:AR15))</f>
        <v>5.2252580449301818E-2</v>
      </c>
      <c r="AT29" t="s">
        <v>42</v>
      </c>
      <c r="AU29" s="28" cm="1">
        <f t="array" ref="AU29">MAX(ABS(AU4:AU15))</f>
        <v>1.2477121790513988E-2</v>
      </c>
      <c r="AW29" t="s">
        <v>42</v>
      </c>
      <c r="AX29" s="35" cm="1">
        <f t="array" ref="AX29">MAX(ABS(AX4:AX15))</f>
        <v>5.5646779784710764E-3</v>
      </c>
      <c r="AZ29" t="s">
        <v>42</v>
      </c>
      <c r="BA29" s="20" cm="1">
        <f t="array" ref="BA29">MAX(ABS(BA4:BA15))</f>
        <v>3.0942395176430946</v>
      </c>
      <c r="BC29" t="s">
        <v>42</v>
      </c>
      <c r="BD29" s="24" cm="1">
        <f t="array" ref="BD29">MAX(ABS(BD4:BD15))</f>
        <v>0.49589192385138414</v>
      </c>
      <c r="BF29" t="s">
        <v>42</v>
      </c>
      <c r="BG29" s="28" cm="1">
        <f t="array" ref="BG29">MAX(ABS(BG4:BG15))</f>
        <v>0.20413039767878474</v>
      </c>
      <c r="BI29" t="s">
        <v>42</v>
      </c>
      <c r="BJ29" s="35" cm="1">
        <f t="array" ref="BJ29">MAX(ABS(BJ4:BJ15))</f>
        <v>0.14225941422594141</v>
      </c>
    </row>
    <row r="30" spans="1:62" x14ac:dyDescent="0.35">
      <c r="D30" t="s">
        <v>43</v>
      </c>
      <c r="E30" s="20" cm="1">
        <f t="array" ref="E30">MEDIAN(ABS(E4:E15))</f>
        <v>0.51634870970263202</v>
      </c>
      <c r="G30" t="s">
        <v>43</v>
      </c>
      <c r="H30" s="24" cm="1">
        <f t="array" ref="H30">MEDIAN(ABS(H4:H15))</f>
        <v>0.10992366401344419</v>
      </c>
      <c r="J30" t="s">
        <v>43</v>
      </c>
      <c r="K30" s="28" cm="1">
        <f t="array" ref="K30">MEDIAN(ABS(K4:K15))</f>
        <v>0.11830693207104818</v>
      </c>
      <c r="M30" t="s">
        <v>43</v>
      </c>
      <c r="N30" s="35" cm="1">
        <f t="array" ref="N30">MEDIAN(ABS(N4:N15))</f>
        <v>5.1211303216619583E-2</v>
      </c>
      <c r="P30" t="s">
        <v>43</v>
      </c>
      <c r="Q30" s="20" cm="1">
        <f t="array" ref="Q30">MEDIAN(ABS(Q4:Q15))</f>
        <v>1.7710703419741569E-2</v>
      </c>
      <c r="S30" t="s">
        <v>43</v>
      </c>
      <c r="T30" s="24" cm="1">
        <f t="array" ref="T30">MEDIAN(ABS(T4:T15))</f>
        <v>5.4378113932103678E-3</v>
      </c>
      <c r="V30" t="s">
        <v>43</v>
      </c>
      <c r="W30" s="28" cm="1">
        <f t="array" ref="W30">MEDIAN(ABS(W4:W15))</f>
        <v>5.8454390976198892E-4</v>
      </c>
      <c r="Y30" t="s">
        <v>43</v>
      </c>
      <c r="Z30" s="35" cm="1">
        <f t="array" ref="Z30">MEDIAN(ABS(Z4:Z15))</f>
        <v>1.2823093760877093E-3</v>
      </c>
      <c r="AB30" t="s">
        <v>43</v>
      </c>
      <c r="AC30" s="20" cm="1">
        <f t="array" ref="AC30">MEDIAN(ABS(AC4:AC15))</f>
        <v>0.51326167449697335</v>
      </c>
      <c r="AE30" t="s">
        <v>43</v>
      </c>
      <c r="AF30" s="24" cm="1">
        <f t="array" ref="AF30">MEDIAN(ABS(AF4:AF15))</f>
        <v>0.10796255386100254</v>
      </c>
      <c r="AH30" t="s">
        <v>43</v>
      </c>
      <c r="AI30" s="28" cm="1">
        <f t="array" ref="AI30">MEDIAN(ABS(AI4:AI15))</f>
        <v>0.11726474127652055</v>
      </c>
      <c r="AK30" t="s">
        <v>43</v>
      </c>
      <c r="AL30" s="35" cm="1">
        <f t="array" ref="AL30">MEDIAN(ABS(AL4:AL15))</f>
        <v>5.0437286415175135E-2</v>
      </c>
      <c r="AN30" t="s">
        <v>43</v>
      </c>
      <c r="AO30" s="20" cm="1">
        <f t="array" ref="AO30">MEDIAN(ABS(AO4:AO15))</f>
        <v>1.534650254126837E-2</v>
      </c>
      <c r="AQ30" t="s">
        <v>43</v>
      </c>
      <c r="AR30" s="24" cm="1">
        <f t="array" ref="AR30">MEDIAN(ABS(AR4:AR15))</f>
        <v>5.7222820021436173E-3</v>
      </c>
      <c r="AT30" t="s">
        <v>43</v>
      </c>
      <c r="AU30" s="28" cm="1">
        <f t="array" ref="AU30">MEDIAN(ABS(AU4:AU15))</f>
        <v>8.745224848384749E-4</v>
      </c>
      <c r="AW30" t="s">
        <v>43</v>
      </c>
      <c r="AX30" s="35" cm="1">
        <f t="array" ref="AX30">MEDIAN(ABS(AX4:AX15))</f>
        <v>1.2976024608704082E-3</v>
      </c>
      <c r="AZ30" t="s">
        <v>43</v>
      </c>
      <c r="BA30" s="20" cm="1">
        <f t="array" ref="BA30">MEDIAN(ABS(BA4:BA15))</f>
        <v>0.40983941105209465</v>
      </c>
      <c r="BC30" t="s">
        <v>43</v>
      </c>
      <c r="BD30" s="24" cm="1">
        <f t="array" ref="BD30">MEDIAN(ABS(BD4:BD15))</f>
        <v>7.2088074131250957E-2</v>
      </c>
      <c r="BF30" t="s">
        <v>43</v>
      </c>
      <c r="BG30" s="28" cm="1">
        <f t="array" ref="BG30">MEDIAN(ABS(BG4:BG15))</f>
        <v>0.10866908687211838</v>
      </c>
      <c r="BI30" t="s">
        <v>43</v>
      </c>
      <c r="BJ30" s="35" cm="1">
        <f t="array" ref="BJ30">MEDIAN(ABS(BJ4:BJ15))</f>
        <v>5.501908283851055E-2</v>
      </c>
    </row>
    <row r="37" spans="5:16" x14ac:dyDescent="0.35">
      <c r="E37" s="90"/>
    </row>
    <row r="38" spans="5:16" x14ac:dyDescent="0.35">
      <c r="P38" t="s">
        <v>40</v>
      </c>
    </row>
  </sheetData>
  <mergeCells count="34">
    <mergeCell ref="AY1:BJ1"/>
    <mergeCell ref="AY2:BA2"/>
    <mergeCell ref="BB2:BD2"/>
    <mergeCell ref="BE2:BG2"/>
    <mergeCell ref="BH2:BJ2"/>
    <mergeCell ref="AM1:AX1"/>
    <mergeCell ref="AM2:AO2"/>
    <mergeCell ref="AP2:AR2"/>
    <mergeCell ref="AS2:AU2"/>
    <mergeCell ref="AV2:AX2"/>
    <mergeCell ref="A12:A15"/>
    <mergeCell ref="A16:A19"/>
    <mergeCell ref="A20:A23"/>
    <mergeCell ref="A24:A27"/>
    <mergeCell ref="A3:B3"/>
    <mergeCell ref="A4:A7"/>
    <mergeCell ref="A8:A11"/>
    <mergeCell ref="AA1:AL1"/>
    <mergeCell ref="AA2:AC2"/>
    <mergeCell ref="AD2:AF2"/>
    <mergeCell ref="AG2:AI2"/>
    <mergeCell ref="AJ2:AL2"/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tabSelected="1" zoomScale="114" zoomScaleNormal="265" workbookViewId="0">
      <selection activeCell="L14" sqref="L14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41</v>
      </c>
      <c r="B1" t="s">
        <v>45</v>
      </c>
      <c r="C1" t="s">
        <v>46</v>
      </c>
      <c r="D1" t="s">
        <v>49</v>
      </c>
      <c r="E1" t="s">
        <v>50</v>
      </c>
      <c r="F1" t="s">
        <v>51</v>
      </c>
    </row>
    <row r="2" spans="1:6" x14ac:dyDescent="0.35">
      <c r="A2" t="s">
        <v>35</v>
      </c>
      <c r="B2" s="90">
        <f>'ARIMA DATA'!E28</f>
        <v>1.6611418247179177</v>
      </c>
      <c r="C2" s="90">
        <f>'ARIMA DATA'!Q28</f>
        <v>2.6171126308932747E-2</v>
      </c>
      <c r="D2" s="90">
        <f>'ARIMA DATA'!AC28</f>
        <v>1.5702437267527654</v>
      </c>
      <c r="E2" s="90">
        <f>'ARIMA DATA'!AO28</f>
        <v>2.4423915874920311E-2</v>
      </c>
      <c r="F2" s="90">
        <f>'ARIMA DATA'!BA28</f>
        <v>0.94916744185995283</v>
      </c>
    </row>
    <row r="3" spans="1:6" x14ac:dyDescent="0.35">
      <c r="A3" t="s">
        <v>52</v>
      </c>
      <c r="B3" s="90">
        <f>'ARIMA DATA'!H28</f>
        <v>0.16562650636596546</v>
      </c>
      <c r="C3" s="90">
        <f>'ARIMA DATA'!T28</f>
        <v>8.5484478771713241E-3</v>
      </c>
      <c r="D3" s="90">
        <f>'ARIMA DATA'!AF28</f>
        <v>0.1640354173885189</v>
      </c>
      <c r="E3" s="90">
        <f>'ARIMA DATA'!AR28</f>
        <v>8.9070923434570615E-3</v>
      </c>
      <c r="F3" s="90">
        <f>'ARIMA DATA'!BD28</f>
        <v>0.16437372396588582</v>
      </c>
    </row>
    <row r="4" spans="1:6" x14ac:dyDescent="0.35">
      <c r="B4" s="90">
        <v>0</v>
      </c>
      <c r="C4" s="90">
        <v>0</v>
      </c>
      <c r="D4" s="90">
        <v>0</v>
      </c>
      <c r="E4" s="90">
        <v>0</v>
      </c>
      <c r="F4" s="90">
        <v>0</v>
      </c>
    </row>
    <row r="5" spans="1:6" x14ac:dyDescent="0.35">
      <c r="B5" s="90">
        <v>0</v>
      </c>
      <c r="C5" s="90">
        <v>0</v>
      </c>
      <c r="D5" s="90">
        <v>0</v>
      </c>
      <c r="E5" s="90">
        <v>0</v>
      </c>
      <c r="F5" s="90">
        <v>0</v>
      </c>
    </row>
    <row r="6" spans="1:6" x14ac:dyDescent="0.35">
      <c r="B6" s="90">
        <v>0</v>
      </c>
      <c r="C6" s="90">
        <v>0</v>
      </c>
      <c r="D6" s="90">
        <v>0</v>
      </c>
      <c r="E6" s="90">
        <v>0</v>
      </c>
      <c r="F6" s="90">
        <v>0</v>
      </c>
    </row>
    <row r="7" spans="1:6" x14ac:dyDescent="0.35">
      <c r="A7" t="s">
        <v>38</v>
      </c>
      <c r="B7" s="90">
        <f>'ARIMA DATA'!K28</f>
        <v>0.10722202342334754</v>
      </c>
      <c r="C7" s="90">
        <f>'ARIMA DATA'!W28</f>
        <v>3.1791066851724887E-3</v>
      </c>
      <c r="D7" s="90">
        <f>'ARIMA DATA'!AI28</f>
        <v>0.10536782143871931</v>
      </c>
      <c r="E7" s="90">
        <f>'ARIMA DATA'!AU28</f>
        <v>3.3766136751378823E-3</v>
      </c>
      <c r="F7" s="90">
        <f>'ARIMA DATA'!BG28</f>
        <v>0.10165541517862074</v>
      </c>
    </row>
    <row r="8" spans="1:6" x14ac:dyDescent="0.35">
      <c r="A8" t="s">
        <v>39</v>
      </c>
      <c r="B8" s="90">
        <f>'ARIMA DATA'!N28</f>
        <v>5.9682965378486989E-2</v>
      </c>
      <c r="C8" s="90">
        <f>'ARIMA DATA'!Z28</f>
        <v>1.9053262849441227E-3</v>
      </c>
      <c r="D8" s="90">
        <f>'ARIMA DATA'!AL28</f>
        <v>5.8787022517720826E-2</v>
      </c>
      <c r="E8" s="90">
        <f>'ARIMA DATA'!AX28</f>
        <v>1.9288789392539083E-3</v>
      </c>
      <c r="F8" s="90">
        <f>'ARIMA DATA'!BJ28</f>
        <v>6.2353531524908447E-2</v>
      </c>
    </row>
    <row r="10" spans="1:6" x14ac:dyDescent="0.35">
      <c r="A10" t="s">
        <v>42</v>
      </c>
      <c r="B10" t="s">
        <v>45</v>
      </c>
      <c r="C10" t="s">
        <v>46</v>
      </c>
      <c r="D10" t="s">
        <v>49</v>
      </c>
      <c r="E10" t="s">
        <v>50</v>
      </c>
      <c r="F10" t="s">
        <v>51</v>
      </c>
    </row>
    <row r="11" spans="1:6" x14ac:dyDescent="0.35">
      <c r="A11" t="s">
        <v>35</v>
      </c>
      <c r="B11" s="90">
        <f>'ARIMA DATA'!E29</f>
        <v>7.6732308766186872</v>
      </c>
      <c r="C11" s="90">
        <f>'ARIMA DATA'!Q29</f>
        <v>8.8091222531466742E-2</v>
      </c>
      <c r="D11" s="90">
        <f>'ARIMA DATA'!AC29</f>
        <v>6.9922345111442734</v>
      </c>
      <c r="E11" s="90">
        <f>'ARIMA DATA'!AO29</f>
        <v>9.1288788269015125E-2</v>
      </c>
      <c r="F11" s="90">
        <f>'ARIMA DATA'!BA29</f>
        <v>3.0942395176430946</v>
      </c>
    </row>
    <row r="12" spans="1:6" x14ac:dyDescent="0.35">
      <c r="A12" t="s">
        <v>52</v>
      </c>
      <c r="B12" s="90">
        <f>'ARIMA DATA'!H29</f>
        <v>0.38433799454487655</v>
      </c>
      <c r="C12" s="90">
        <f>'ARIMA DATA'!T29</f>
        <v>4.8249342238413206E-2</v>
      </c>
      <c r="D12" s="90">
        <f>'ARIMA DATA'!AF29</f>
        <v>0.38206223749309753</v>
      </c>
      <c r="E12" s="90">
        <f>'ARIMA DATA'!AR29</f>
        <v>5.2252580449301818E-2</v>
      </c>
      <c r="F12" s="90">
        <f>'ARIMA DATA'!BD29</f>
        <v>0.49589192385138414</v>
      </c>
    </row>
    <row r="13" spans="1:6" x14ac:dyDescent="0.35">
      <c r="A13" t="s">
        <v>38</v>
      </c>
      <c r="B13" s="90">
        <f>'ARIMA DATA'!K29</f>
        <v>0.17100264486655448</v>
      </c>
      <c r="C13" s="90">
        <f>'ARIMA DATA'!W29</f>
        <v>1.1725377830215119E-2</v>
      </c>
      <c r="D13" s="90">
        <f>'ARIMA DATA'!AI29</f>
        <v>0.16969824477037762</v>
      </c>
      <c r="E13" s="90">
        <f>'ARIMA DATA'!AU29</f>
        <v>1.2477121790513988E-2</v>
      </c>
      <c r="F13" s="90">
        <f>'ARIMA DATA'!BG29</f>
        <v>0.20413039767878474</v>
      </c>
    </row>
    <row r="14" spans="1:6" x14ac:dyDescent="0.35">
      <c r="A14" t="s">
        <v>39</v>
      </c>
      <c r="B14" s="90">
        <f>'ARIMA DATA'!N29</f>
        <v>0.16399632615573023</v>
      </c>
      <c r="C14" s="90">
        <f>'ARIMA DATA'!Z29</f>
        <v>6.0207991242473445E-3</v>
      </c>
      <c r="D14" s="90">
        <f>'ARIMA DATA'!AL29</f>
        <v>0.16226145525053581</v>
      </c>
      <c r="E14" s="90">
        <f>'ARIMA DATA'!AX29</f>
        <v>5.5646779784710764E-3</v>
      </c>
      <c r="F14" s="90">
        <f>'ARIMA DATA'!BJ29</f>
        <v>0.14225941422594141</v>
      </c>
    </row>
    <row r="16" spans="1:6" x14ac:dyDescent="0.35">
      <c r="A16" t="s">
        <v>53</v>
      </c>
      <c r="B16" t="s">
        <v>45</v>
      </c>
      <c r="C16" t="s">
        <v>46</v>
      </c>
      <c r="D16" t="s">
        <v>49</v>
      </c>
      <c r="E16" t="s">
        <v>50</v>
      </c>
      <c r="F16" t="s">
        <v>51</v>
      </c>
    </row>
    <row r="17" spans="1:6" x14ac:dyDescent="0.35">
      <c r="A17" t="s">
        <v>35</v>
      </c>
      <c r="B17" s="90">
        <f>'ARIMA DATA'!E30</f>
        <v>0.51634870970263202</v>
      </c>
      <c r="C17" s="90">
        <f>'ARIMA DATA'!Q30</f>
        <v>1.7710703419741569E-2</v>
      </c>
      <c r="D17" s="90">
        <f>'ARIMA DATA'!AC30</f>
        <v>0.51326167449697335</v>
      </c>
      <c r="E17" s="90">
        <f>'ARIMA DATA'!AO30</f>
        <v>1.534650254126837E-2</v>
      </c>
      <c r="F17" s="90">
        <f>'ARIMA DATA'!BA30</f>
        <v>0.40983941105209465</v>
      </c>
    </row>
    <row r="18" spans="1:6" x14ac:dyDescent="0.35">
      <c r="A18" t="s">
        <v>52</v>
      </c>
      <c r="B18" s="90">
        <f>'ARIMA DATA'!H30</f>
        <v>0.10992366401344419</v>
      </c>
      <c r="C18" s="90">
        <f>'ARIMA DATA'!T30</f>
        <v>5.4378113932103678E-3</v>
      </c>
      <c r="D18" s="90">
        <f>'ARIMA DATA'!AF30</f>
        <v>0.10796255386100254</v>
      </c>
      <c r="E18" s="90">
        <f>'ARIMA DATA'!AR30</f>
        <v>5.7222820021436173E-3</v>
      </c>
      <c r="F18" s="90">
        <f>'ARIMA DATA'!BD30</f>
        <v>7.2088074131250957E-2</v>
      </c>
    </row>
    <row r="19" spans="1:6" x14ac:dyDescent="0.35">
      <c r="A19" t="s">
        <v>38</v>
      </c>
      <c r="B19" s="90">
        <f>'ARIMA DATA'!K30</f>
        <v>0.11830693207104818</v>
      </c>
      <c r="C19" s="90">
        <f>'ARIMA DATA'!W30</f>
        <v>5.8454390976198892E-4</v>
      </c>
      <c r="D19" s="90">
        <f>'ARIMA DATA'!AI30</f>
        <v>0.11726474127652055</v>
      </c>
      <c r="E19" s="90">
        <f>'ARIMA DATA'!AU30</f>
        <v>8.745224848384749E-4</v>
      </c>
      <c r="F19" s="90">
        <f>'ARIMA DATA'!BG30</f>
        <v>0.10866908687211838</v>
      </c>
    </row>
    <row r="20" spans="1:6" x14ac:dyDescent="0.35">
      <c r="A20" t="s">
        <v>39</v>
      </c>
      <c r="B20" s="90">
        <f>'ARIMA DATA'!N30</f>
        <v>5.1211303216619583E-2</v>
      </c>
      <c r="C20" s="90">
        <f>'ARIMA DATA'!Z30</f>
        <v>1.2823093760877093E-3</v>
      </c>
      <c r="D20" s="90">
        <f>'ARIMA DATA'!AL30</f>
        <v>5.0437286415175135E-2</v>
      </c>
      <c r="E20" s="90">
        <f>'ARIMA DATA'!AX30</f>
        <v>1.2976024608704082E-3</v>
      </c>
      <c r="F20" s="90">
        <f>'ARIMA DATA'!BJ30</f>
        <v>5.501908283851055E-2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2026-04-11T13:21:53Z</dcterms:modified>
</cp:coreProperties>
</file>