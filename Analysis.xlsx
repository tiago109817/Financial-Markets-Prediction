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Tiago\Desktop\ANO 3\ANO 3 SEM 2\PIC\Financial-Markets-Prediction\"/>
    </mc:Choice>
  </mc:AlternateContent>
  <xr:revisionPtr revIDLastSave="0" documentId="13_ncr:1_{D8699C0B-73B3-4366-8DD9-402B01366EA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RIMA FINAL" sheetId="3" r:id="rId1"/>
    <sheet name="RANDOM WALK" sheetId="4" r:id="rId2"/>
    <sheet name="ARIMA DATA" sheetId="1" r:id="rId3"/>
    <sheet name="ARIMA ANALYSI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30" i="4" l="1"/>
  <c r="AF30" i="4"/>
  <c r="AB30" i="4"/>
  <c r="X30" i="4"/>
  <c r="AJ29" i="4"/>
  <c r="AF29" i="4"/>
  <c r="AB29" i="4"/>
  <c r="X29" i="4"/>
  <c r="AJ28" i="4"/>
  <c r="AF28" i="4"/>
  <c r="AB28" i="4"/>
  <c r="X28" i="4"/>
  <c r="AJ27" i="4"/>
  <c r="AF27" i="4"/>
  <c r="AB27" i="4"/>
  <c r="X27" i="4"/>
  <c r="AJ26" i="4"/>
  <c r="AF26" i="4"/>
  <c r="AB26" i="4"/>
  <c r="X26" i="4"/>
  <c r="AJ25" i="4"/>
  <c r="AF25" i="4"/>
  <c r="AB25" i="4"/>
  <c r="X25" i="4"/>
  <c r="AJ24" i="4"/>
  <c r="AF24" i="4"/>
  <c r="AB24" i="4"/>
  <c r="X24" i="4"/>
  <c r="AJ23" i="4"/>
  <c r="AF23" i="4"/>
  <c r="AB23" i="4"/>
  <c r="X23" i="4"/>
  <c r="AJ22" i="4"/>
  <c r="AF22" i="4"/>
  <c r="AB22" i="4"/>
  <c r="X22" i="4"/>
  <c r="AJ21" i="4"/>
  <c r="AF21" i="4"/>
  <c r="AB21" i="4"/>
  <c r="X21" i="4"/>
  <c r="AJ20" i="4"/>
  <c r="AF20" i="4"/>
  <c r="AB20" i="4"/>
  <c r="X20" i="4"/>
  <c r="AJ19" i="4"/>
  <c r="AF19" i="4"/>
  <c r="AB19" i="4"/>
  <c r="X19" i="4"/>
  <c r="AJ18" i="4"/>
  <c r="AF18" i="4"/>
  <c r="AB18" i="4"/>
  <c r="X18" i="4"/>
  <c r="AJ17" i="4"/>
  <c r="AF17" i="4"/>
  <c r="AB17" i="4"/>
  <c r="X17" i="4"/>
  <c r="AJ16" i="4"/>
  <c r="AF16" i="4"/>
  <c r="AB16" i="4"/>
  <c r="X16" i="4"/>
  <c r="AJ15" i="4"/>
  <c r="AF15" i="4"/>
  <c r="AB15" i="4"/>
  <c r="X15" i="4"/>
  <c r="AJ14" i="4"/>
  <c r="AF14" i="4"/>
  <c r="AB14" i="4"/>
  <c r="X14" i="4"/>
  <c r="AJ13" i="4"/>
  <c r="AF13" i="4"/>
  <c r="AB13" i="4"/>
  <c r="X13" i="4"/>
  <c r="AJ12" i="4"/>
  <c r="AF12" i="4"/>
  <c r="AB12" i="4"/>
  <c r="X12" i="4"/>
  <c r="AJ11" i="4"/>
  <c r="AF11" i="4"/>
  <c r="AB11" i="4"/>
  <c r="X11" i="4"/>
  <c r="AJ10" i="4"/>
  <c r="AF10" i="4"/>
  <c r="AB10" i="4"/>
  <c r="X10" i="4"/>
  <c r="AJ9" i="4"/>
  <c r="AF9" i="4"/>
  <c r="AB9" i="4"/>
  <c r="X9" i="4"/>
  <c r="AJ8" i="4"/>
  <c r="AF8" i="4"/>
  <c r="AB8" i="4"/>
  <c r="X8" i="4"/>
  <c r="AJ7" i="4"/>
  <c r="AF7" i="4"/>
  <c r="AB7" i="4"/>
  <c r="X7" i="4"/>
  <c r="AJ6" i="4"/>
  <c r="AF6" i="4"/>
  <c r="AB6" i="4"/>
  <c r="X6" i="4"/>
  <c r="AJ5" i="4"/>
  <c r="AF5" i="4"/>
  <c r="AB5" i="4"/>
  <c r="X5" i="4"/>
  <c r="AJ4" i="4"/>
  <c r="AF4" i="4"/>
  <c r="AB4" i="4"/>
  <c r="X4" i="4"/>
  <c r="AJ3" i="4"/>
  <c r="AF3" i="4"/>
  <c r="AB3" i="4"/>
  <c r="X3" i="4"/>
  <c r="AJ31" i="4" a="1"/>
  <c r="AJ31" i="4" s="1"/>
  <c r="AF31" i="4" a="1"/>
  <c r="AF31" i="4" s="1"/>
  <c r="AB31" i="4" a="1"/>
  <c r="AB31" i="4" s="1"/>
  <c r="X31" i="4" a="1"/>
  <c r="X31" i="4" s="1"/>
  <c r="R31" i="4" a="1"/>
  <c r="R31" i="4" s="1"/>
  <c r="N31" i="4" a="1"/>
  <c r="N31" i="4" s="1"/>
  <c r="R30" i="4"/>
  <c r="N30" i="4"/>
  <c r="J30" i="4"/>
  <c r="F30" i="4"/>
  <c r="R29" i="4"/>
  <c r="N29" i="4"/>
  <c r="J29" i="4"/>
  <c r="F29" i="4"/>
  <c r="R28" i="4"/>
  <c r="N28" i="4"/>
  <c r="J28" i="4"/>
  <c r="F28" i="4"/>
  <c r="R27" i="4"/>
  <c r="N27" i="4"/>
  <c r="J27" i="4"/>
  <c r="F27" i="4"/>
  <c r="R26" i="4"/>
  <c r="N26" i="4"/>
  <c r="J26" i="4"/>
  <c r="F26" i="4"/>
  <c r="R25" i="4"/>
  <c r="N25" i="4"/>
  <c r="J25" i="4"/>
  <c r="F25" i="4"/>
  <c r="R24" i="4"/>
  <c r="N24" i="4"/>
  <c r="J24" i="4"/>
  <c r="F24" i="4"/>
  <c r="R23" i="4"/>
  <c r="N23" i="4"/>
  <c r="J23" i="4"/>
  <c r="F23" i="4"/>
  <c r="R22" i="4"/>
  <c r="N22" i="4"/>
  <c r="J22" i="4"/>
  <c r="F22" i="4"/>
  <c r="R21" i="4"/>
  <c r="N21" i="4"/>
  <c r="J21" i="4"/>
  <c r="F21" i="4"/>
  <c r="R20" i="4"/>
  <c r="N20" i="4"/>
  <c r="J20" i="4"/>
  <c r="F20" i="4"/>
  <c r="R19" i="4"/>
  <c r="N19" i="4"/>
  <c r="J19" i="4"/>
  <c r="F19" i="4"/>
  <c r="R18" i="4"/>
  <c r="N18" i="4"/>
  <c r="J18" i="4"/>
  <c r="F18" i="4"/>
  <c r="R17" i="4"/>
  <c r="N17" i="4"/>
  <c r="J17" i="4"/>
  <c r="F17" i="4"/>
  <c r="R16" i="4"/>
  <c r="N16" i="4"/>
  <c r="J16" i="4"/>
  <c r="F16" i="4"/>
  <c r="R15" i="4"/>
  <c r="N15" i="4"/>
  <c r="J15" i="4"/>
  <c r="F15" i="4"/>
  <c r="R14" i="4"/>
  <c r="N14" i="4"/>
  <c r="J14" i="4"/>
  <c r="F14" i="4"/>
  <c r="R13" i="4"/>
  <c r="N13" i="4"/>
  <c r="J13" i="4"/>
  <c r="F13" i="4"/>
  <c r="R12" i="4"/>
  <c r="N12" i="4"/>
  <c r="J12" i="4"/>
  <c r="F12" i="4"/>
  <c r="R11" i="4"/>
  <c r="N11" i="4"/>
  <c r="J11" i="4"/>
  <c r="F11" i="4"/>
  <c r="R10" i="4"/>
  <c r="N10" i="4"/>
  <c r="J10" i="4"/>
  <c r="F10" i="4"/>
  <c r="R9" i="4"/>
  <c r="N9" i="4"/>
  <c r="J9" i="4"/>
  <c r="F9" i="4"/>
  <c r="R8" i="4"/>
  <c r="N8" i="4"/>
  <c r="J8" i="4"/>
  <c r="F8" i="4"/>
  <c r="R7" i="4"/>
  <c r="N7" i="4"/>
  <c r="J7" i="4"/>
  <c r="F7" i="4"/>
  <c r="R6" i="4"/>
  <c r="N6" i="4"/>
  <c r="J6" i="4"/>
  <c r="F6" i="4"/>
  <c r="R5" i="4"/>
  <c r="N5" i="4"/>
  <c r="J5" i="4"/>
  <c r="F5" i="4"/>
  <c r="R4" i="4"/>
  <c r="N4" i="4"/>
  <c r="J4" i="4"/>
  <c r="F4" i="4"/>
  <c r="R3" i="4"/>
  <c r="N3" i="4"/>
  <c r="J3" i="4"/>
  <c r="J31" i="4" s="1" a="1"/>
  <c r="J31" i="4" s="1"/>
  <c r="F3" i="4"/>
  <c r="AV12" i="3"/>
  <c r="AW12" i="3"/>
  <c r="AX12" i="3"/>
  <c r="AU12" i="3"/>
  <c r="Z3" i="3"/>
  <c r="Z31" i="3" s="1" a="1"/>
  <c r="Z31" i="3" s="1"/>
  <c r="AU25" i="3" s="1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AL22" i="3"/>
  <c r="AR30" i="3"/>
  <c r="AL30" i="3"/>
  <c r="AF30" i="3"/>
  <c r="Z30" i="3"/>
  <c r="AR29" i="3"/>
  <c r="AL29" i="3"/>
  <c r="AF29" i="3"/>
  <c r="Z29" i="3"/>
  <c r="AR28" i="3"/>
  <c r="AL28" i="3"/>
  <c r="AF28" i="3"/>
  <c r="Z28" i="3"/>
  <c r="AR27" i="3"/>
  <c r="AL27" i="3"/>
  <c r="AF27" i="3"/>
  <c r="Z27" i="3"/>
  <c r="AR26" i="3"/>
  <c r="AL26" i="3"/>
  <c r="AF26" i="3"/>
  <c r="AR25" i="3"/>
  <c r="AL25" i="3"/>
  <c r="AF25" i="3"/>
  <c r="AR24" i="3"/>
  <c r="AL24" i="3"/>
  <c r="AF24" i="3"/>
  <c r="AR23" i="3"/>
  <c r="AL23" i="3"/>
  <c r="AF23" i="3"/>
  <c r="AR22" i="3"/>
  <c r="AF22" i="3"/>
  <c r="AR21" i="3"/>
  <c r="AL21" i="3"/>
  <c r="AF21" i="3"/>
  <c r="AR20" i="3"/>
  <c r="AL20" i="3"/>
  <c r="AF20" i="3"/>
  <c r="AR19" i="3"/>
  <c r="AL19" i="3"/>
  <c r="AF19" i="3"/>
  <c r="AR18" i="3"/>
  <c r="AL18" i="3"/>
  <c r="AF18" i="3"/>
  <c r="AR17" i="3"/>
  <c r="AL17" i="3"/>
  <c r="AF17" i="3"/>
  <c r="AR16" i="3"/>
  <c r="AL16" i="3"/>
  <c r="AF16" i="3"/>
  <c r="AR15" i="3"/>
  <c r="AL15" i="3"/>
  <c r="AF15" i="3"/>
  <c r="AR14" i="3"/>
  <c r="AL14" i="3"/>
  <c r="AF14" i="3"/>
  <c r="AR13" i="3"/>
  <c r="AL13" i="3"/>
  <c r="AF13" i="3"/>
  <c r="AR12" i="3"/>
  <c r="AL12" i="3"/>
  <c r="AF12" i="3"/>
  <c r="AR11" i="3"/>
  <c r="AL11" i="3"/>
  <c r="AF11" i="3"/>
  <c r="AR10" i="3"/>
  <c r="AL10" i="3"/>
  <c r="AF10" i="3"/>
  <c r="AR9" i="3"/>
  <c r="AL9" i="3"/>
  <c r="AF9" i="3"/>
  <c r="AR8" i="3"/>
  <c r="AL8" i="3"/>
  <c r="AF8" i="3"/>
  <c r="AR7" i="3"/>
  <c r="AL7" i="3"/>
  <c r="AF7" i="3"/>
  <c r="AR6" i="3"/>
  <c r="AL6" i="3"/>
  <c r="AF6" i="3"/>
  <c r="AR5" i="3"/>
  <c r="AL5" i="3"/>
  <c r="AF5" i="3"/>
  <c r="AR4" i="3"/>
  <c r="AL4" i="3"/>
  <c r="AF4" i="3"/>
  <c r="AR3" i="3"/>
  <c r="AR31" i="3" s="1" a="1"/>
  <c r="AR31" i="3" s="1"/>
  <c r="AX25" i="3" s="1"/>
  <c r="AL3" i="3"/>
  <c r="AL31" i="3" s="1" a="1"/>
  <c r="AL31" i="3" s="1"/>
  <c r="AW25" i="3" s="1"/>
  <c r="AF3" i="3"/>
  <c r="AF31" i="3" s="1" a="1"/>
  <c r="AF31" i="3" s="1"/>
  <c r="AV25" i="3" s="1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R6" i="3"/>
  <c r="R5" i="3"/>
  <c r="R4" i="3"/>
  <c r="R3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BJ27" i="1"/>
  <c r="BG27" i="1"/>
  <c r="BD27" i="1"/>
  <c r="BD28" i="1" s="1" a="1"/>
  <c r="BD28" i="1" s="1"/>
  <c r="F3" i="2" s="1"/>
  <c r="BA27" i="1"/>
  <c r="AX27" i="1"/>
  <c r="AU27" i="1"/>
  <c r="AR27" i="1"/>
  <c r="AO27" i="1"/>
  <c r="AL27" i="1"/>
  <c r="AI27" i="1"/>
  <c r="AF27" i="1"/>
  <c r="AC27" i="1"/>
  <c r="Z27" i="1"/>
  <c r="W27" i="1"/>
  <c r="T27" i="1"/>
  <c r="Q27" i="1"/>
  <c r="BJ26" i="1"/>
  <c r="BG26" i="1"/>
  <c r="BD26" i="1"/>
  <c r="BA26" i="1"/>
  <c r="AX26" i="1"/>
  <c r="AU26" i="1"/>
  <c r="AR26" i="1"/>
  <c r="AO26" i="1"/>
  <c r="AL26" i="1"/>
  <c r="AI26" i="1"/>
  <c r="AF26" i="1"/>
  <c r="AC26" i="1"/>
  <c r="AC28" i="1" s="1" a="1"/>
  <c r="AC28" i="1" s="1"/>
  <c r="D2" i="2" s="1"/>
  <c r="Z26" i="1"/>
  <c r="W26" i="1"/>
  <c r="T26" i="1"/>
  <c r="Q26" i="1"/>
  <c r="BJ25" i="1"/>
  <c r="BG25" i="1"/>
  <c r="BD25" i="1"/>
  <c r="BA25" i="1"/>
  <c r="AX25" i="1"/>
  <c r="AU25" i="1"/>
  <c r="AR25" i="1"/>
  <c r="AO25" i="1"/>
  <c r="AL25" i="1"/>
  <c r="AI25" i="1"/>
  <c r="AF25" i="1"/>
  <c r="AC25" i="1"/>
  <c r="Z25" i="1"/>
  <c r="W25" i="1"/>
  <c r="T25" i="1"/>
  <c r="Q25" i="1"/>
  <c r="BJ24" i="1"/>
  <c r="BG24" i="1"/>
  <c r="BD24" i="1"/>
  <c r="BD30" i="1" s="1" a="1"/>
  <c r="BD30" i="1" s="1"/>
  <c r="F18" i="2" s="1"/>
  <c r="BA24" i="1"/>
  <c r="AX24" i="1"/>
  <c r="AX28" i="1" s="1" a="1"/>
  <c r="AX28" i="1" s="1"/>
  <c r="E8" i="2" s="1"/>
  <c r="AU24" i="1"/>
  <c r="AR24" i="1"/>
  <c r="AO24" i="1"/>
  <c r="AL24" i="1"/>
  <c r="AI24" i="1"/>
  <c r="AF24" i="1"/>
  <c r="AF30" i="1" s="1" a="1"/>
  <c r="AF30" i="1" s="1"/>
  <c r="D18" i="2" s="1"/>
  <c r="AC24" i="1"/>
  <c r="Z24" i="1"/>
  <c r="Z29" i="1" s="1" a="1"/>
  <c r="Z29" i="1" s="1"/>
  <c r="C14" i="2" s="1"/>
  <c r="W24" i="1"/>
  <c r="T24" i="1"/>
  <c r="Q24" i="1"/>
  <c r="BJ29" i="1" a="1"/>
  <c r="BJ29" i="1" s="1"/>
  <c r="F14" i="2" s="1"/>
  <c r="AC29" i="1" a="1"/>
  <c r="AC29" i="1" s="1"/>
  <c r="D11" i="2" s="1"/>
  <c r="BJ28" i="1" a="1"/>
  <c r="BJ28" i="1" s="1"/>
  <c r="F8" i="2" s="1"/>
  <c r="AL28" i="1" a="1"/>
  <c r="AL28" i="1" s="1"/>
  <c r="D8" i="2" s="1"/>
  <c r="BJ23" i="1"/>
  <c r="BG23" i="1"/>
  <c r="BD23" i="1"/>
  <c r="BA23" i="1"/>
  <c r="AX23" i="1"/>
  <c r="AU23" i="1"/>
  <c r="AR23" i="1"/>
  <c r="AO23" i="1"/>
  <c r="AL23" i="1"/>
  <c r="AI23" i="1"/>
  <c r="AF23" i="1"/>
  <c r="AC23" i="1"/>
  <c r="Z23" i="1"/>
  <c r="W23" i="1"/>
  <c r="T23" i="1"/>
  <c r="Q23" i="1"/>
  <c r="BJ22" i="1"/>
  <c r="BG22" i="1"/>
  <c r="BD22" i="1"/>
  <c r="BA22" i="1"/>
  <c r="AX22" i="1"/>
  <c r="AU22" i="1"/>
  <c r="AR22" i="1"/>
  <c r="AO22" i="1"/>
  <c r="AL22" i="1"/>
  <c r="AI22" i="1"/>
  <c r="AF22" i="1"/>
  <c r="AC22" i="1"/>
  <c r="Z22" i="1"/>
  <c r="W22" i="1"/>
  <c r="T22" i="1"/>
  <c r="Q22" i="1"/>
  <c r="BJ21" i="1"/>
  <c r="BG21" i="1"/>
  <c r="BG28" i="1" s="1" a="1"/>
  <c r="BG28" i="1" s="1"/>
  <c r="F7" i="2" s="1"/>
  <c r="BD21" i="1"/>
  <c r="BA21" i="1"/>
  <c r="AX21" i="1"/>
  <c r="AU21" i="1"/>
  <c r="AR21" i="1"/>
  <c r="AO21" i="1"/>
  <c r="AL21" i="1"/>
  <c r="AI21" i="1"/>
  <c r="AF21" i="1"/>
  <c r="AC21" i="1"/>
  <c r="Z21" i="1"/>
  <c r="W21" i="1"/>
  <c r="T21" i="1"/>
  <c r="Q21" i="1"/>
  <c r="BJ20" i="1"/>
  <c r="BG20" i="1"/>
  <c r="BD20" i="1"/>
  <c r="BA20" i="1"/>
  <c r="AX20" i="1"/>
  <c r="AU20" i="1"/>
  <c r="AR20" i="1"/>
  <c r="AO20" i="1"/>
  <c r="AL20" i="1"/>
  <c r="AL30" i="1" s="1" a="1"/>
  <c r="AL30" i="1" s="1"/>
  <c r="D20" i="2" s="1"/>
  <c r="AI20" i="1"/>
  <c r="AF20" i="1"/>
  <c r="AC20" i="1"/>
  <c r="Z20" i="1"/>
  <c r="W20" i="1"/>
  <c r="T20" i="1"/>
  <c r="Q20" i="1"/>
  <c r="BJ19" i="1"/>
  <c r="BG19" i="1"/>
  <c r="BD19" i="1"/>
  <c r="BA19" i="1"/>
  <c r="AX19" i="1"/>
  <c r="AU19" i="1"/>
  <c r="AR19" i="1"/>
  <c r="AO19" i="1"/>
  <c r="AL19" i="1"/>
  <c r="AI19" i="1"/>
  <c r="AF19" i="1"/>
  <c r="AC19" i="1"/>
  <c r="Z19" i="1"/>
  <c r="W19" i="1"/>
  <c r="T19" i="1"/>
  <c r="Q19" i="1"/>
  <c r="BJ18" i="1"/>
  <c r="BG18" i="1"/>
  <c r="BD18" i="1"/>
  <c r="BA18" i="1"/>
  <c r="AX18" i="1"/>
  <c r="AU18" i="1"/>
  <c r="AR18" i="1"/>
  <c r="AO18" i="1"/>
  <c r="AL18" i="1"/>
  <c r="AI18" i="1"/>
  <c r="AF18" i="1"/>
  <c r="AC18" i="1"/>
  <c r="Z18" i="1"/>
  <c r="W18" i="1"/>
  <c r="T18" i="1"/>
  <c r="Q18" i="1"/>
  <c r="BJ17" i="1"/>
  <c r="BG17" i="1"/>
  <c r="BD17" i="1"/>
  <c r="BA17" i="1"/>
  <c r="AX17" i="1"/>
  <c r="AU17" i="1"/>
  <c r="AR17" i="1"/>
  <c r="AO17" i="1"/>
  <c r="AL17" i="1"/>
  <c r="AI17" i="1"/>
  <c r="AF17" i="1"/>
  <c r="AC17" i="1"/>
  <c r="Z17" i="1"/>
  <c r="W17" i="1"/>
  <c r="T17" i="1"/>
  <c r="Q17" i="1"/>
  <c r="BJ16" i="1"/>
  <c r="BG16" i="1"/>
  <c r="BD16" i="1"/>
  <c r="BA16" i="1"/>
  <c r="AX16" i="1"/>
  <c r="AU16" i="1"/>
  <c r="AR16" i="1"/>
  <c r="AO16" i="1"/>
  <c r="AL16" i="1"/>
  <c r="AI16" i="1"/>
  <c r="AF16" i="1"/>
  <c r="AC16" i="1"/>
  <c r="Z16" i="1"/>
  <c r="W16" i="1"/>
  <c r="T16" i="1"/>
  <c r="Q16" i="1"/>
  <c r="E27" i="1"/>
  <c r="N27" i="1"/>
  <c r="K27" i="1"/>
  <c r="H27" i="1"/>
  <c r="N26" i="1"/>
  <c r="K26" i="1"/>
  <c r="H26" i="1"/>
  <c r="E26" i="1"/>
  <c r="N25" i="1"/>
  <c r="K25" i="1"/>
  <c r="H25" i="1"/>
  <c r="E25" i="1"/>
  <c r="N24" i="1"/>
  <c r="K24" i="1"/>
  <c r="H24" i="1"/>
  <c r="E24" i="1"/>
  <c r="N23" i="1"/>
  <c r="K23" i="1"/>
  <c r="H23" i="1"/>
  <c r="E23" i="1"/>
  <c r="N22" i="1"/>
  <c r="K22" i="1"/>
  <c r="H22" i="1"/>
  <c r="E22" i="1"/>
  <c r="N21" i="1"/>
  <c r="K21" i="1"/>
  <c r="H21" i="1"/>
  <c r="E21" i="1"/>
  <c r="N20" i="1"/>
  <c r="K20" i="1"/>
  <c r="H20" i="1"/>
  <c r="E20" i="1"/>
  <c r="N19" i="1"/>
  <c r="K19" i="1"/>
  <c r="H19" i="1"/>
  <c r="E19" i="1"/>
  <c r="N18" i="1"/>
  <c r="K18" i="1"/>
  <c r="H18" i="1"/>
  <c r="E18" i="1"/>
  <c r="N17" i="1"/>
  <c r="K17" i="1"/>
  <c r="H17" i="1"/>
  <c r="E17" i="1"/>
  <c r="N16" i="1"/>
  <c r="K16" i="1"/>
  <c r="H16" i="1"/>
  <c r="E16" i="1"/>
  <c r="BJ15" i="1"/>
  <c r="BG15" i="1"/>
  <c r="BD15" i="1"/>
  <c r="BA15" i="1"/>
  <c r="AX15" i="1"/>
  <c r="AU15" i="1"/>
  <c r="AR15" i="1"/>
  <c r="AO15" i="1"/>
  <c r="AL15" i="1"/>
  <c r="AI15" i="1"/>
  <c r="AF15" i="1"/>
  <c r="AC15" i="1"/>
  <c r="Z15" i="1"/>
  <c r="W15" i="1"/>
  <c r="T15" i="1"/>
  <c r="Q15" i="1"/>
  <c r="N15" i="1"/>
  <c r="K15" i="1"/>
  <c r="H15" i="1"/>
  <c r="E15" i="1"/>
  <c r="BJ14" i="1"/>
  <c r="BG14" i="1"/>
  <c r="BD14" i="1"/>
  <c r="BA14" i="1"/>
  <c r="AX14" i="1"/>
  <c r="AU14" i="1"/>
  <c r="AR14" i="1"/>
  <c r="AO14" i="1"/>
  <c r="AL14" i="1"/>
  <c r="AI14" i="1"/>
  <c r="AF14" i="1"/>
  <c r="AC14" i="1"/>
  <c r="Z14" i="1"/>
  <c r="W14" i="1"/>
  <c r="T14" i="1"/>
  <c r="Q14" i="1"/>
  <c r="N14" i="1"/>
  <c r="K14" i="1"/>
  <c r="H14" i="1"/>
  <c r="E14" i="1"/>
  <c r="BJ13" i="1"/>
  <c r="BG13" i="1"/>
  <c r="BD13" i="1"/>
  <c r="BA13" i="1"/>
  <c r="AX13" i="1"/>
  <c r="AU13" i="1"/>
  <c r="AR13" i="1"/>
  <c r="AO13" i="1"/>
  <c r="AL13" i="1"/>
  <c r="AI13" i="1"/>
  <c r="AF13" i="1"/>
  <c r="AC13" i="1"/>
  <c r="Z13" i="1"/>
  <c r="W13" i="1"/>
  <c r="T13" i="1"/>
  <c r="Q13" i="1"/>
  <c r="N13" i="1"/>
  <c r="K13" i="1"/>
  <c r="H13" i="1"/>
  <c r="E13" i="1"/>
  <c r="BJ12" i="1"/>
  <c r="BG12" i="1"/>
  <c r="BD12" i="1"/>
  <c r="BA12" i="1"/>
  <c r="AX12" i="1"/>
  <c r="AU12" i="1"/>
  <c r="AR12" i="1"/>
  <c r="AO12" i="1"/>
  <c r="AL12" i="1"/>
  <c r="AI12" i="1"/>
  <c r="AF12" i="1"/>
  <c r="AC12" i="1"/>
  <c r="Z12" i="1"/>
  <c r="W12" i="1"/>
  <c r="T12" i="1"/>
  <c r="Q12" i="1"/>
  <c r="N12" i="1"/>
  <c r="K12" i="1"/>
  <c r="H12" i="1"/>
  <c r="E12" i="1"/>
  <c r="BJ11" i="1"/>
  <c r="BG11" i="1"/>
  <c r="BD11" i="1"/>
  <c r="BA11" i="1"/>
  <c r="AX11" i="1"/>
  <c r="AU11" i="1"/>
  <c r="AR11" i="1"/>
  <c r="AO11" i="1"/>
  <c r="AL11" i="1"/>
  <c r="AI11" i="1"/>
  <c r="AF11" i="1"/>
  <c r="AC11" i="1"/>
  <c r="Z11" i="1"/>
  <c r="W11" i="1"/>
  <c r="T11" i="1"/>
  <c r="Q11" i="1"/>
  <c r="N11" i="1"/>
  <c r="K11" i="1"/>
  <c r="H11" i="1"/>
  <c r="E11" i="1"/>
  <c r="BJ10" i="1"/>
  <c r="BG10" i="1"/>
  <c r="BD10" i="1"/>
  <c r="BA10" i="1"/>
  <c r="AX10" i="1"/>
  <c r="AU10" i="1"/>
  <c r="AR10" i="1"/>
  <c r="AO10" i="1"/>
  <c r="AL10" i="1"/>
  <c r="AI10" i="1"/>
  <c r="AF10" i="1"/>
  <c r="AC10" i="1"/>
  <c r="Z10" i="1"/>
  <c r="W10" i="1"/>
  <c r="T10" i="1"/>
  <c r="Q10" i="1"/>
  <c r="N10" i="1"/>
  <c r="K10" i="1"/>
  <c r="H10" i="1"/>
  <c r="E10" i="1"/>
  <c r="BJ9" i="1"/>
  <c r="BG9" i="1"/>
  <c r="BD9" i="1"/>
  <c r="BA9" i="1"/>
  <c r="AX9" i="1"/>
  <c r="AU9" i="1"/>
  <c r="AR9" i="1"/>
  <c r="AO9" i="1"/>
  <c r="AL9" i="1"/>
  <c r="AI9" i="1"/>
  <c r="AF9" i="1"/>
  <c r="AC9" i="1"/>
  <c r="Z9" i="1"/>
  <c r="W9" i="1"/>
  <c r="T9" i="1"/>
  <c r="Q9" i="1"/>
  <c r="N9" i="1"/>
  <c r="K9" i="1"/>
  <c r="H9" i="1"/>
  <c r="E9" i="1"/>
  <c r="BJ8" i="1"/>
  <c r="BG8" i="1"/>
  <c r="BD8" i="1"/>
  <c r="BA8" i="1"/>
  <c r="AX8" i="1"/>
  <c r="AU8" i="1"/>
  <c r="AR8" i="1"/>
  <c r="AO8" i="1"/>
  <c r="AL8" i="1"/>
  <c r="AI8" i="1"/>
  <c r="AF8" i="1"/>
  <c r="AC8" i="1"/>
  <c r="Z8" i="1"/>
  <c r="W8" i="1"/>
  <c r="T8" i="1"/>
  <c r="Q8" i="1"/>
  <c r="N8" i="1"/>
  <c r="K8" i="1"/>
  <c r="H8" i="1"/>
  <c r="E8" i="1"/>
  <c r="BJ7" i="1"/>
  <c r="BG7" i="1"/>
  <c r="BD7" i="1"/>
  <c r="BA7" i="1"/>
  <c r="AX7" i="1"/>
  <c r="AU7" i="1"/>
  <c r="AR7" i="1"/>
  <c r="AO7" i="1"/>
  <c r="AL7" i="1"/>
  <c r="AI7" i="1"/>
  <c r="AF7" i="1"/>
  <c r="AC7" i="1"/>
  <c r="Z7" i="1"/>
  <c r="W7" i="1"/>
  <c r="T7" i="1"/>
  <c r="Q7" i="1"/>
  <c r="N7" i="1"/>
  <c r="K7" i="1"/>
  <c r="H7" i="1"/>
  <c r="E7" i="1"/>
  <c r="BJ6" i="1"/>
  <c r="BG6" i="1"/>
  <c r="BD6" i="1"/>
  <c r="BA6" i="1"/>
  <c r="AX6" i="1"/>
  <c r="AU6" i="1"/>
  <c r="AR6" i="1"/>
  <c r="AO6" i="1"/>
  <c r="AL6" i="1"/>
  <c r="AI6" i="1"/>
  <c r="AF6" i="1"/>
  <c r="AC6" i="1"/>
  <c r="Z6" i="1"/>
  <c r="W6" i="1"/>
  <c r="T6" i="1"/>
  <c r="Q6" i="1"/>
  <c r="N6" i="1"/>
  <c r="K6" i="1"/>
  <c r="H6" i="1"/>
  <c r="E6" i="1"/>
  <c r="BJ5" i="1"/>
  <c r="BG5" i="1"/>
  <c r="BD5" i="1"/>
  <c r="BA5" i="1"/>
  <c r="AX5" i="1"/>
  <c r="AU5" i="1"/>
  <c r="AR5" i="1"/>
  <c r="AO5" i="1"/>
  <c r="AL5" i="1"/>
  <c r="AI5" i="1"/>
  <c r="AF5" i="1"/>
  <c r="AC5" i="1"/>
  <c r="Z5" i="1"/>
  <c r="W5" i="1"/>
  <c r="T5" i="1"/>
  <c r="Q5" i="1"/>
  <c r="N5" i="1"/>
  <c r="K5" i="1"/>
  <c r="H5" i="1"/>
  <c r="E5" i="1"/>
  <c r="BJ4" i="1"/>
  <c r="BG4" i="1"/>
  <c r="BD4" i="1"/>
  <c r="BA4" i="1"/>
  <c r="AX4" i="1"/>
  <c r="AU4" i="1"/>
  <c r="AR4" i="1"/>
  <c r="AO4" i="1"/>
  <c r="AL4" i="1"/>
  <c r="AI4" i="1"/>
  <c r="AF4" i="1"/>
  <c r="AC4" i="1"/>
  <c r="Z4" i="1"/>
  <c r="W4" i="1"/>
  <c r="T4" i="1"/>
  <c r="Q4" i="1"/>
  <c r="N4" i="1"/>
  <c r="K4" i="1"/>
  <c r="H4" i="1"/>
  <c r="E4" i="1"/>
  <c r="R31" i="3" l="1" a="1"/>
  <c r="R31" i="3" s="1"/>
  <c r="AX24" i="3" s="1"/>
  <c r="N31" i="3" a="1"/>
  <c r="N31" i="3" s="1"/>
  <c r="AW24" i="3" s="1"/>
  <c r="J31" i="3" a="1"/>
  <c r="J31" i="3" s="1"/>
  <c r="AV24" i="3" s="1"/>
  <c r="F31" i="4" a="1"/>
  <c r="F31" i="4" s="1"/>
  <c r="BD29" i="1" a="1"/>
  <c r="BD29" i="1" s="1"/>
  <c r="F12" i="2" s="1"/>
  <c r="BA28" i="1" a="1"/>
  <c r="BA28" i="1" s="1"/>
  <c r="F2" i="2" s="1"/>
  <c r="AU30" i="1" a="1"/>
  <c r="AU30" i="1" s="1"/>
  <c r="E19" i="2" s="1"/>
  <c r="AO30" i="1" a="1"/>
  <c r="AO30" i="1" s="1"/>
  <c r="E17" i="2" s="1"/>
  <c r="AI30" i="1" a="1"/>
  <c r="AI30" i="1" s="1"/>
  <c r="D19" i="2" s="1"/>
  <c r="AF29" i="1" a="1"/>
  <c r="AF29" i="1" s="1"/>
  <c r="D12" i="2" s="1"/>
  <c r="AF28" i="1" a="1"/>
  <c r="AF28" i="1" s="1"/>
  <c r="D3" i="2" s="1"/>
  <c r="AC30" i="1" a="1"/>
  <c r="AC30" i="1" s="1"/>
  <c r="D17" i="2" s="1"/>
  <c r="Z30" i="1" a="1"/>
  <c r="Z30" i="1" s="1"/>
  <c r="C20" i="2" s="1"/>
  <c r="W28" i="1" a="1"/>
  <c r="W28" i="1" s="1"/>
  <c r="C7" i="2" s="1"/>
  <c r="AO28" i="1" a="1"/>
  <c r="AO28" i="1" s="1"/>
  <c r="E2" i="2" s="1"/>
  <c r="AU29" i="1" a="1"/>
  <c r="AU29" i="1" s="1"/>
  <c r="E13" i="2" s="1"/>
  <c r="AU28" i="1" a="1"/>
  <c r="AU28" i="1" s="1"/>
  <c r="E7" i="2" s="1"/>
  <c r="AX29" i="1" a="1"/>
  <c r="AX29" i="1" s="1"/>
  <c r="E14" i="2" s="1"/>
  <c r="AX30" i="1" a="1"/>
  <c r="AX30" i="1" s="1"/>
  <c r="E20" i="2" s="1"/>
  <c r="AO29" i="1" a="1"/>
  <c r="AO29" i="1" s="1"/>
  <c r="E11" i="2" s="1"/>
  <c r="Z28" i="1" a="1"/>
  <c r="Z28" i="1" s="1"/>
  <c r="C8" i="2" s="1"/>
  <c r="BA29" i="1" a="1"/>
  <c r="BA29" i="1" s="1"/>
  <c r="F11" i="2" s="1"/>
  <c r="BA30" i="1" a="1"/>
  <c r="BA30" i="1" s="1"/>
  <c r="F17" i="2" s="1"/>
  <c r="T29" i="1" a="1"/>
  <c r="T29" i="1" s="1"/>
  <c r="C12" i="2" s="1"/>
  <c r="AR29" i="1" a="1"/>
  <c r="AR29" i="1" s="1"/>
  <c r="E12" i="2" s="1"/>
  <c r="T28" i="1" a="1"/>
  <c r="T28" i="1" s="1"/>
  <c r="C3" i="2" s="1"/>
  <c r="H30" i="1" a="1"/>
  <c r="H30" i="1" s="1"/>
  <c r="B18" i="2" s="1"/>
  <c r="BJ30" i="1" a="1"/>
  <c r="BJ30" i="1" s="1"/>
  <c r="F20" i="2" s="1"/>
  <c r="BG29" i="1" a="1"/>
  <c r="BG29" i="1" s="1"/>
  <c r="F13" i="2" s="1"/>
  <c r="BG30" i="1" a="1"/>
  <c r="BG30" i="1" s="1"/>
  <c r="F19" i="2" s="1"/>
  <c r="AR30" i="1" a="1"/>
  <c r="AR30" i="1" s="1"/>
  <c r="E18" i="2" s="1"/>
  <c r="AR28" i="1" a="1"/>
  <c r="AR28" i="1" s="1"/>
  <c r="E3" i="2" s="1"/>
  <c r="AL29" i="1" a="1"/>
  <c r="AL29" i="1" s="1"/>
  <c r="D14" i="2" s="1"/>
  <c r="AI28" i="1" a="1"/>
  <c r="AI28" i="1" s="1"/>
  <c r="D7" i="2" s="1"/>
  <c r="AI29" i="1" a="1"/>
  <c r="AI29" i="1" s="1"/>
  <c r="D13" i="2" s="1"/>
  <c r="W30" i="1" a="1"/>
  <c r="W30" i="1" s="1"/>
  <c r="C19" i="2" s="1"/>
  <c r="W29" i="1" a="1"/>
  <c r="W29" i="1" s="1"/>
  <c r="C13" i="2" s="1"/>
  <c r="T30" i="1" a="1"/>
  <c r="T30" i="1" s="1"/>
  <c r="C18" i="2" s="1"/>
  <c r="Q28" i="1" a="1"/>
  <c r="Q28" i="1" s="1"/>
  <c r="C2" i="2" s="1"/>
  <c r="Q30" i="1" a="1"/>
  <c r="Q30" i="1" s="1"/>
  <c r="C17" i="2" s="1"/>
  <c r="Q29" i="1" a="1"/>
  <c r="Q29" i="1" s="1"/>
  <c r="C11" i="2" s="1"/>
  <c r="N29" i="1" a="1"/>
  <c r="N29" i="1" s="1"/>
  <c r="B14" i="2" s="1"/>
  <c r="N30" i="1" a="1"/>
  <c r="N30" i="1" s="1"/>
  <c r="B20" i="2" s="1"/>
  <c r="N28" i="1" a="1"/>
  <c r="N28" i="1" s="1"/>
  <c r="B8" i="2" s="1"/>
  <c r="K28" i="1" a="1"/>
  <c r="K28" i="1" s="1"/>
  <c r="B7" i="2" s="1"/>
  <c r="K29" i="1" a="1"/>
  <c r="K29" i="1" s="1"/>
  <c r="B13" i="2" s="1"/>
  <c r="K30" i="1" a="1"/>
  <c r="K30" i="1" s="1"/>
  <c r="B19" i="2" s="1"/>
  <c r="H29" i="1" a="1"/>
  <c r="H29" i="1" s="1"/>
  <c r="B12" i="2" s="1"/>
  <c r="H28" i="1" a="1"/>
  <c r="H28" i="1" s="1"/>
  <c r="B3" i="2" s="1"/>
  <c r="E30" i="1" a="1"/>
  <c r="E30" i="1" s="1"/>
  <c r="B17" i="2" s="1"/>
  <c r="E29" i="1" a="1"/>
  <c r="E29" i="1" s="1"/>
  <c r="B11" i="2" s="1"/>
  <c r="E28" i="1" a="1"/>
  <c r="E28" i="1" s="1"/>
  <c r="B2" i="2" s="1"/>
  <c r="F3" i="3"/>
  <c r="F31" i="3" a="1"/>
  <c r="F31" i="3" s="1"/>
  <c r="AU24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<sst xmlns="http://schemas.openxmlformats.org/spreadsheetml/2006/main" count="651" uniqueCount="121">
  <si>
    <t>Tipo</t>
  </si>
  <si>
    <t>Forecast</t>
  </si>
  <si>
    <t>2020-21</t>
  </si>
  <si>
    <t>2021-22</t>
  </si>
  <si>
    <t>2022-23</t>
  </si>
  <si>
    <t>2023-24</t>
  </si>
  <si>
    <t>2024-25</t>
  </si>
  <si>
    <t>2025-26</t>
  </si>
  <si>
    <t>Real</t>
  </si>
  <si>
    <t>Previsto</t>
  </si>
  <si>
    <t>Erro</t>
  </si>
  <si>
    <t>Abril'20</t>
  </si>
  <si>
    <t>Julho'20</t>
  </si>
  <si>
    <t>Outubro'20</t>
  </si>
  <si>
    <t>Janeiro'21</t>
  </si>
  <si>
    <t>Abril'21</t>
  </si>
  <si>
    <t>Julho'21</t>
  </si>
  <si>
    <t>Outubro'21</t>
  </si>
  <si>
    <t>Janeiro'22</t>
  </si>
  <si>
    <t>Abril'22</t>
  </si>
  <si>
    <t>Julho'22</t>
  </si>
  <si>
    <t>Outubro'22</t>
  </si>
  <si>
    <t>Janeiro'23</t>
  </si>
  <si>
    <t>Abril'23</t>
  </si>
  <si>
    <t>Julho'23</t>
  </si>
  <si>
    <t>Outubro'23</t>
  </si>
  <si>
    <t>Janeiro'24</t>
  </si>
  <si>
    <t>Abril'24</t>
  </si>
  <si>
    <t>Julho'24</t>
  </si>
  <si>
    <t>Outubro'24</t>
  </si>
  <si>
    <t>Janeiro'25</t>
  </si>
  <si>
    <t>Abril'25</t>
  </si>
  <si>
    <t>Julho'25</t>
  </si>
  <si>
    <t>Outubro'25</t>
  </si>
  <si>
    <t>Janeiro'26</t>
  </si>
  <si>
    <t>Bitcoin</t>
  </si>
  <si>
    <t>S&amp;P 500</t>
  </si>
  <si>
    <t>Asset</t>
  </si>
  <si>
    <t>Gold</t>
  </si>
  <si>
    <t>EUR/USD</t>
  </si>
  <si>
    <t>ABS AVG</t>
  </si>
  <si>
    <t>MAX DIF</t>
  </si>
  <si>
    <t>ABS P50</t>
  </si>
  <si>
    <t>Monthly Propagating</t>
  </si>
  <si>
    <t>Static</t>
  </si>
  <si>
    <t>Monthly</t>
  </si>
  <si>
    <t>Rolling Window Propagating</t>
  </si>
  <si>
    <t>Rolling Window (24-month)</t>
  </si>
  <si>
    <t>Monthly Prop</t>
  </si>
  <si>
    <t>Rolling</t>
  </si>
  <si>
    <t>Rolling Prop</t>
  </si>
  <si>
    <t>S&amp;P500</t>
  </si>
  <si>
    <t>MEDIANA</t>
  </si>
  <si>
    <t>Ordem</t>
  </si>
  <si>
    <t>Ano previsto</t>
  </si>
  <si>
    <t>1'Abril'20</t>
  </si>
  <si>
    <t>1'Julho'20</t>
  </si>
  <si>
    <t>1'Outubro'20</t>
  </si>
  <si>
    <t>1'Janeiro'21</t>
  </si>
  <si>
    <t>1'Abril'21</t>
  </si>
  <si>
    <t>1'Julho'21</t>
  </si>
  <si>
    <t>1'Outubro'21</t>
  </si>
  <si>
    <t>1'Janeiro'22</t>
  </si>
  <si>
    <t>1'Abril'22</t>
  </si>
  <si>
    <t>1'Julho'22</t>
  </si>
  <si>
    <t>1'Outubro'22</t>
  </si>
  <si>
    <t>1'Janeiro'23</t>
  </si>
  <si>
    <t>1'Abril'23</t>
  </si>
  <si>
    <t>1'Julho'23</t>
  </si>
  <si>
    <t>1'Outubro'23</t>
  </si>
  <si>
    <t>1'Janeiro'24</t>
  </si>
  <si>
    <t>1'Abril'24</t>
  </si>
  <si>
    <t>1'Julho'24</t>
  </si>
  <si>
    <t>1'Outubro'24</t>
  </si>
  <si>
    <t>1'Janeiro'25</t>
  </si>
  <si>
    <t>1'Abril'25</t>
  </si>
  <si>
    <t>1'Julho'25</t>
  </si>
  <si>
    <t>1'Outubro'25</t>
  </si>
  <si>
    <t>1'Janeiro'26</t>
  </si>
  <si>
    <t>1'Abril'26</t>
  </si>
  <si>
    <t>1'Julho'26</t>
  </si>
  <si>
    <t>1'Outubro'26</t>
  </si>
  <si>
    <t>1'Janeiro'27</t>
  </si>
  <si>
    <t>(3,0,2)</t>
  </si>
  <si>
    <t>(1,0,0)</t>
  </si>
  <si>
    <t>Monthly Model</t>
  </si>
  <si>
    <t>Static Model</t>
  </si>
  <si>
    <t>Parâmetros</t>
  </si>
  <si>
    <t xml:space="preserve">AR1: </t>
  </si>
  <si>
    <t xml:space="preserve">AR2: </t>
  </si>
  <si>
    <t xml:space="preserve">AR3: </t>
  </si>
  <si>
    <t xml:space="preserve">Cte: </t>
  </si>
  <si>
    <t>MA1:</t>
  </si>
  <si>
    <t>MA2:</t>
  </si>
  <si>
    <t>MA3:</t>
  </si>
  <si>
    <t>Estrutura</t>
  </si>
  <si>
    <t xml:space="preserve">sigma2: </t>
  </si>
  <si>
    <t>LONG RUN 2020-2025</t>
  </si>
  <si>
    <t>ASSET</t>
  </si>
  <si>
    <t>Jan 1st, 2026</t>
  </si>
  <si>
    <t>Error</t>
  </si>
  <si>
    <t>Constante</t>
  </si>
  <si>
    <t>Sigma2</t>
  </si>
  <si>
    <t>AR1</t>
  </si>
  <si>
    <t>AR2</t>
  </si>
  <si>
    <t>AR3</t>
  </si>
  <si>
    <t>MA1</t>
  </si>
  <si>
    <t>MA2</t>
  </si>
  <si>
    <t>-</t>
  </si>
  <si>
    <t>AVG(ABS)</t>
  </si>
  <si>
    <t>Bitcoin Monthly</t>
  </si>
  <si>
    <t>S&amp;P 500 Monthly</t>
  </si>
  <si>
    <t>Gold Monthly</t>
  </si>
  <si>
    <t>EUR/USD Monthly</t>
  </si>
  <si>
    <t>Bitcoin Static</t>
  </si>
  <si>
    <t>S&amp;P 500 Static</t>
  </si>
  <si>
    <t>Gold Static</t>
  </si>
  <si>
    <t>EUR/USD Static</t>
  </si>
  <si>
    <t xml:space="preserve">μ = </t>
  </si>
  <si>
    <t xml:space="preserve">σ = </t>
  </si>
  <si>
    <t>CONTINUEI APENAS O MONTHLY (MELHOR) E O STATIC (CURIOSO), MELHOREI O MONTHLY MAS OS ERROS PIORARAM BASTANTE PORQUE NOTEI UM ERRO NO ANCHORING - ERA FEITO ANTES DO PRINT, NÃO DEPOIS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</si>
</sst>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%"/>
    <numFmt numFmtId="166" formatCode="0.0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22BDFF"/>
        <bgColor indexed="64"/>
      </patternFill>
    </fill>
    <fill>
      <patternFill patternType="solid">
        <fgColor rgb="FFF33621"/>
        <bgColor indexed="64"/>
      </patternFill>
    </fill>
    <fill>
      <patternFill patternType="solid">
        <fgColor rgb="FFFFC107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BE71F3"/>
        <bgColor indexed="64"/>
      </patternFill>
    </fill>
    <fill>
      <patternFill patternType="solid">
        <fgColor rgb="FFEF9B9B"/>
        <bgColor indexed="64"/>
      </patternFill>
    </fill>
    <fill>
      <patternFill patternType="solid">
        <fgColor rgb="FFA3E3FF"/>
        <bgColor indexed="64"/>
      </patternFill>
    </fill>
    <fill>
      <patternFill patternType="solid">
        <fgColor rgb="FFFBB6AF"/>
        <bgColor indexed="64"/>
      </patternFill>
    </fill>
    <fill>
      <patternFill patternType="solid">
        <fgColor rgb="FFFFE089"/>
        <bgColor indexed="64"/>
      </patternFill>
    </fill>
    <fill>
      <patternFill patternType="solid">
        <fgColor rgb="FFAADA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A7A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thin">
        <color theme="0"/>
      </right>
      <top/>
      <bottom/>
      <diagonal/>
    </border>
    <border>
      <left style="medium">
        <color indexed="64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8">
    <xf numFmtId="0" fontId="0" fillId="0" borderId="0" xfId="0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0" fontId="0" fillId="5" borderId="21" xfId="1" applyNumberFormat="1" applyFont="1" applyFill="1" applyBorder="1" applyAlignment="1">
      <alignment horizontal="center" vertical="center"/>
    </xf>
    <xf numFmtId="10" fontId="0" fillId="5" borderId="17" xfId="1" applyNumberFormat="1" applyFont="1" applyFill="1" applyBorder="1" applyAlignment="1">
      <alignment horizontal="center" vertical="center"/>
    </xf>
    <xf numFmtId="10" fontId="0" fillId="5" borderId="12" xfId="1" applyNumberFormat="1" applyFont="1" applyFill="1" applyBorder="1" applyAlignment="1">
      <alignment horizontal="center" vertical="center"/>
    </xf>
    <xf numFmtId="10" fontId="0" fillId="5" borderId="25" xfId="1" applyNumberFormat="1" applyFont="1" applyFill="1" applyBorder="1" applyAlignment="1">
      <alignment horizontal="center" vertical="center"/>
    </xf>
    <xf numFmtId="10" fontId="0" fillId="6" borderId="21" xfId="1" applyNumberFormat="1" applyFont="1" applyFill="1" applyBorder="1" applyAlignment="1">
      <alignment horizontal="center" vertical="center"/>
    </xf>
    <xf numFmtId="10" fontId="0" fillId="6" borderId="17" xfId="1" applyNumberFormat="1" applyFont="1" applyFill="1" applyBorder="1" applyAlignment="1">
      <alignment horizontal="center" vertical="center"/>
    </xf>
    <xf numFmtId="10" fontId="0" fillId="6" borderId="12" xfId="1" applyNumberFormat="1" applyFont="1" applyFill="1" applyBorder="1" applyAlignment="1">
      <alignment horizontal="center" vertical="center"/>
    </xf>
    <xf numFmtId="10" fontId="0" fillId="6" borderId="25" xfId="1" applyNumberFormat="1" applyFont="1" applyFill="1" applyBorder="1" applyAlignment="1">
      <alignment horizontal="center" vertical="center"/>
    </xf>
    <xf numFmtId="10" fontId="0" fillId="7" borderId="21" xfId="1" applyNumberFormat="1" applyFont="1" applyFill="1" applyBorder="1" applyAlignment="1">
      <alignment horizontal="center" vertical="center"/>
    </xf>
    <xf numFmtId="10" fontId="0" fillId="7" borderId="17" xfId="1" applyNumberFormat="1" applyFont="1" applyFill="1" applyBorder="1" applyAlignment="1">
      <alignment horizontal="center" vertical="center"/>
    </xf>
    <xf numFmtId="10" fontId="0" fillId="7" borderId="12" xfId="1" applyNumberFormat="1" applyFont="1" applyFill="1" applyBorder="1" applyAlignment="1">
      <alignment horizontal="center" vertical="center"/>
    </xf>
    <xf numFmtId="10" fontId="0" fillId="7" borderId="25" xfId="1" applyNumberFormat="1" applyFont="1" applyFill="1" applyBorder="1" applyAlignment="1">
      <alignment horizontal="center" vertical="center"/>
    </xf>
    <xf numFmtId="10" fontId="0" fillId="8" borderId="3" xfId="1" applyNumberFormat="1" applyFont="1" applyFill="1" applyBorder="1" applyAlignment="1">
      <alignment horizontal="center" vertical="center"/>
    </xf>
    <xf numFmtId="10" fontId="0" fillId="8" borderId="0" xfId="1" applyNumberFormat="1" applyFont="1" applyFill="1" applyBorder="1" applyAlignment="1">
      <alignment horizontal="center" vertical="center"/>
    </xf>
    <xf numFmtId="10" fontId="0" fillId="8" borderId="11" xfId="1" applyNumberFormat="1" applyFont="1" applyFill="1" applyBorder="1" applyAlignment="1">
      <alignment horizontal="center" vertical="center"/>
    </xf>
    <xf numFmtId="10" fontId="0" fillId="8" borderId="8" xfId="1" applyNumberFormat="1" applyFont="1" applyFill="1" applyBorder="1" applyAlignment="1">
      <alignment horizontal="center" vertical="center"/>
    </xf>
    <xf numFmtId="10" fontId="0" fillId="8" borderId="17" xfId="1" applyNumberFormat="1" applyFont="1" applyFill="1" applyBorder="1" applyAlignment="1">
      <alignment horizontal="center" vertical="center"/>
    </xf>
    <xf numFmtId="10" fontId="0" fillId="8" borderId="4" xfId="1" applyNumberFormat="1" applyFont="1" applyFill="1" applyBorder="1" applyAlignment="1">
      <alignment horizontal="center" vertical="center"/>
    </xf>
    <xf numFmtId="10" fontId="0" fillId="8" borderId="6" xfId="1" applyNumberFormat="1" applyFont="1" applyFill="1" applyBorder="1" applyAlignment="1">
      <alignment horizontal="center" vertical="center"/>
    </xf>
    <xf numFmtId="10" fontId="0" fillId="8" borderId="24" xfId="1" applyNumberFormat="1" applyFont="1" applyFill="1" applyBorder="1" applyAlignment="1">
      <alignment horizontal="center" vertical="center"/>
    </xf>
    <xf numFmtId="10" fontId="0" fillId="8" borderId="9" xfId="1" applyNumberFormat="1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25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2" fontId="0" fillId="11" borderId="2" xfId="0" applyNumberFormat="1" applyFill="1" applyBorder="1" applyAlignment="1">
      <alignment horizontal="center" vertical="center"/>
    </xf>
    <xf numFmtId="2" fontId="0" fillId="11" borderId="3" xfId="0" applyNumberFormat="1" applyFill="1" applyBorder="1" applyAlignment="1">
      <alignment horizontal="center" vertical="center"/>
    </xf>
    <xf numFmtId="2" fontId="0" fillId="11" borderId="5" xfId="0" applyNumberFormat="1" applyFill="1" applyBorder="1" applyAlignment="1">
      <alignment horizontal="center" vertical="center"/>
    </xf>
    <xf numFmtId="2" fontId="0" fillId="11" borderId="22" xfId="0" applyNumberFormat="1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11" borderId="23" xfId="0" applyNumberFormat="1" applyFill="1" applyBorder="1" applyAlignment="1">
      <alignment horizontal="center" vertical="center"/>
    </xf>
    <xf numFmtId="2" fontId="0" fillId="11" borderId="11" xfId="0" applyNumberFormat="1" applyFill="1" applyBorder="1" applyAlignment="1">
      <alignment horizontal="center" vertical="center"/>
    </xf>
    <xf numFmtId="2" fontId="0" fillId="11" borderId="7" xfId="0" applyNumberFormat="1" applyFill="1" applyBorder="1" applyAlignment="1">
      <alignment horizontal="center" vertical="center"/>
    </xf>
    <xf numFmtId="2" fontId="0" fillId="11" borderId="8" xfId="0" applyNumberFormat="1" applyFill="1" applyBorder="1" applyAlignment="1">
      <alignment horizontal="center" vertical="center"/>
    </xf>
    <xf numFmtId="2" fontId="0" fillId="12" borderId="14" xfId="0" applyNumberFormat="1" applyFill="1" applyBorder="1" applyAlignment="1">
      <alignment horizontal="center" vertical="center"/>
    </xf>
    <xf numFmtId="2" fontId="0" fillId="12" borderId="3" xfId="0" applyNumberFormat="1" applyFill="1" applyBorder="1" applyAlignment="1">
      <alignment horizontal="center" vertical="center"/>
    </xf>
    <xf numFmtId="2" fontId="0" fillId="12" borderId="15" xfId="0" applyNumberFormat="1" applyFill="1" applyBorder="1" applyAlignment="1">
      <alignment horizontal="center" vertical="center"/>
    </xf>
    <xf numFmtId="2" fontId="0" fillId="12" borderId="13" xfId="0" applyNumberFormat="1" applyFill="1" applyBorder="1" applyAlignment="1">
      <alignment horizontal="center" vertical="center"/>
    </xf>
    <xf numFmtId="2" fontId="0" fillId="12" borderId="1" xfId="0" applyNumberFormat="1" applyFill="1" applyBorder="1" applyAlignment="1">
      <alignment horizontal="center" vertical="center"/>
    </xf>
    <xf numFmtId="2" fontId="0" fillId="12" borderId="10" xfId="0" applyNumberFormat="1" applyFill="1" applyBorder="1" applyAlignment="1">
      <alignment horizontal="center" vertical="center"/>
    </xf>
    <xf numFmtId="2" fontId="0" fillId="12" borderId="11" xfId="0" applyNumberFormat="1" applyFill="1" applyBorder="1" applyAlignment="1">
      <alignment horizontal="center" vertical="center"/>
    </xf>
    <xf numFmtId="2" fontId="0" fillId="12" borderId="16" xfId="0" applyNumberFormat="1" applyFill="1" applyBorder="1" applyAlignment="1">
      <alignment horizontal="center" vertical="center"/>
    </xf>
    <xf numFmtId="2" fontId="0" fillId="12" borderId="8" xfId="0" applyNumberFormat="1" applyFill="1" applyBorder="1" applyAlignment="1">
      <alignment horizontal="center" vertical="center"/>
    </xf>
    <xf numFmtId="2" fontId="0" fillId="13" borderId="14" xfId="0" applyNumberFormat="1" applyFill="1" applyBorder="1" applyAlignment="1">
      <alignment horizontal="center" vertical="center"/>
    </xf>
    <xf numFmtId="2" fontId="0" fillId="13" borderId="3" xfId="0" applyNumberFormat="1" applyFill="1" applyBorder="1" applyAlignment="1">
      <alignment horizontal="center" vertical="center"/>
    </xf>
    <xf numFmtId="2" fontId="0" fillId="13" borderId="15" xfId="0" applyNumberFormat="1" applyFill="1" applyBorder="1" applyAlignment="1">
      <alignment horizontal="center" vertical="center"/>
    </xf>
    <xf numFmtId="2" fontId="0" fillId="13" borderId="13" xfId="0" applyNumberFormat="1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center" vertical="center"/>
    </xf>
    <xf numFmtId="2" fontId="0" fillId="13" borderId="10" xfId="0" applyNumberFormat="1" applyFill="1" applyBorder="1" applyAlignment="1">
      <alignment horizontal="center" vertical="center"/>
    </xf>
    <xf numFmtId="2" fontId="0" fillId="13" borderId="11" xfId="0" applyNumberFormat="1" applyFill="1" applyBorder="1" applyAlignment="1">
      <alignment horizontal="center" vertical="center"/>
    </xf>
    <xf numFmtId="2" fontId="0" fillId="13" borderId="16" xfId="0" applyNumberFormat="1" applyFill="1" applyBorder="1" applyAlignment="1">
      <alignment horizontal="center" vertical="center"/>
    </xf>
    <xf numFmtId="2" fontId="0" fillId="13" borderId="8" xfId="0" applyNumberFormat="1" applyFill="1" applyBorder="1" applyAlignment="1">
      <alignment horizontal="center" vertical="center"/>
    </xf>
    <xf numFmtId="164" fontId="0" fillId="14" borderId="14" xfId="0" applyNumberFormat="1" applyFill="1" applyBorder="1" applyAlignment="1">
      <alignment horizontal="center" vertical="center"/>
    </xf>
    <xf numFmtId="164" fontId="0" fillId="14" borderId="3" xfId="0" applyNumberFormat="1" applyFill="1" applyBorder="1" applyAlignment="1">
      <alignment horizontal="center" vertical="center"/>
    </xf>
    <xf numFmtId="164" fontId="0" fillId="14" borderId="15" xfId="0" applyNumberFormat="1" applyFill="1" applyBorder="1" applyAlignment="1">
      <alignment horizontal="center" vertical="center"/>
    </xf>
    <xf numFmtId="164" fontId="0" fillId="14" borderId="13" xfId="0" applyNumberFormat="1" applyFill="1" applyBorder="1" applyAlignment="1">
      <alignment horizontal="center" vertical="center"/>
    </xf>
    <xf numFmtId="164" fontId="0" fillId="14" borderId="1" xfId="0" applyNumberFormat="1" applyFill="1" applyBorder="1" applyAlignment="1">
      <alignment horizontal="center" vertical="center"/>
    </xf>
    <xf numFmtId="164" fontId="0" fillId="14" borderId="10" xfId="0" applyNumberFormat="1" applyFill="1" applyBorder="1" applyAlignment="1">
      <alignment horizontal="center" vertical="center"/>
    </xf>
    <xf numFmtId="164" fontId="0" fillId="14" borderId="11" xfId="0" applyNumberFormat="1" applyFill="1" applyBorder="1" applyAlignment="1">
      <alignment horizontal="center" vertical="center"/>
    </xf>
    <xf numFmtId="164" fontId="0" fillId="14" borderId="16" xfId="0" applyNumberFormat="1" applyFill="1" applyBorder="1" applyAlignment="1">
      <alignment horizontal="center" vertical="center"/>
    </xf>
    <xf numFmtId="164" fontId="0" fillId="14" borderId="8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11" borderId="0" xfId="0" applyNumberFormat="1" applyFill="1" applyAlignment="1">
      <alignment horizontal="center" vertical="center"/>
    </xf>
    <xf numFmtId="2" fontId="0" fillId="12" borderId="0" xfId="0" applyNumberFormat="1" applyFill="1" applyAlignment="1">
      <alignment horizontal="center" vertical="center"/>
    </xf>
    <xf numFmtId="2" fontId="0" fillId="13" borderId="0" xfId="0" applyNumberFormat="1" applyFill="1" applyAlignment="1">
      <alignment horizontal="center" vertical="center"/>
    </xf>
    <xf numFmtId="164" fontId="0" fillId="14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4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0" fontId="0" fillId="15" borderId="29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16" borderId="29" xfId="0" applyFill="1" applyBorder="1" applyAlignment="1">
      <alignment horizontal="center" vertical="center"/>
    </xf>
    <xf numFmtId="0" fontId="0" fillId="17" borderId="29" xfId="0" applyFill="1" applyBorder="1" applyAlignment="1">
      <alignment horizontal="center" vertical="center"/>
    </xf>
    <xf numFmtId="0" fontId="0" fillId="18" borderId="29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19" borderId="29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2" fontId="0" fillId="15" borderId="31" xfId="0" applyNumberFormat="1" applyFill="1" applyBorder="1" applyAlignment="1">
      <alignment horizontal="center" vertical="center"/>
    </xf>
    <xf numFmtId="2" fontId="0" fillId="3" borderId="5" xfId="0" applyNumberFormat="1" applyFill="1" applyBorder="1" applyAlignment="1">
      <alignment horizontal="center" vertical="center"/>
    </xf>
    <xf numFmtId="2" fontId="0" fillId="15" borderId="30" xfId="0" applyNumberFormat="1" applyFill="1" applyBorder="1" applyAlignment="1">
      <alignment horizontal="center" vertical="center"/>
    </xf>
    <xf numFmtId="2" fontId="0" fillId="3" borderId="7" xfId="0" applyNumberFormat="1" applyFill="1" applyBorder="1" applyAlignment="1">
      <alignment horizontal="center" vertical="center"/>
    </xf>
    <xf numFmtId="2" fontId="0" fillId="15" borderId="32" xfId="0" applyNumberFormat="1" applyFill="1" applyBorder="1" applyAlignment="1">
      <alignment horizontal="center" vertical="center"/>
    </xf>
    <xf numFmtId="2" fontId="0" fillId="17" borderId="2" xfId="0" applyNumberFormat="1" applyFill="1" applyBorder="1" applyAlignment="1">
      <alignment horizontal="center" vertical="center"/>
    </xf>
    <xf numFmtId="2" fontId="0" fillId="16" borderId="31" xfId="0" applyNumberFormat="1" applyFill="1" applyBorder="1" applyAlignment="1">
      <alignment horizontal="center" vertical="center"/>
    </xf>
    <xf numFmtId="2" fontId="0" fillId="17" borderId="5" xfId="0" applyNumberFormat="1" applyFill="1" applyBorder="1" applyAlignment="1">
      <alignment horizontal="center" vertical="center"/>
    </xf>
    <xf numFmtId="2" fontId="0" fillId="16" borderId="30" xfId="0" applyNumberFormat="1" applyFill="1" applyBorder="1" applyAlignment="1">
      <alignment horizontal="center" vertical="center"/>
    </xf>
    <xf numFmtId="2" fontId="0" fillId="17" borderId="7" xfId="0" applyNumberFormat="1" applyFill="1" applyBorder="1" applyAlignment="1">
      <alignment horizontal="center" vertical="center"/>
    </xf>
    <xf numFmtId="2" fontId="0" fillId="16" borderId="32" xfId="0" applyNumberFormat="1" applyFill="1" applyBorder="1" applyAlignment="1">
      <alignment horizontal="center" vertical="center"/>
    </xf>
    <xf numFmtId="2" fontId="0" fillId="2" borderId="2" xfId="0" applyNumberFormat="1" applyFill="1" applyBorder="1" applyAlignment="1">
      <alignment horizontal="center" vertical="center"/>
    </xf>
    <xf numFmtId="2" fontId="0" fillId="18" borderId="31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 vertical="center"/>
    </xf>
    <xf numFmtId="2" fontId="0" fillId="18" borderId="30" xfId="0" applyNumberFormat="1" applyFill="1" applyBorder="1" applyAlignment="1">
      <alignment horizontal="center" vertical="center"/>
    </xf>
    <xf numFmtId="2" fontId="0" fillId="2" borderId="7" xfId="0" applyNumberFormat="1" applyFill="1" applyBorder="1" applyAlignment="1">
      <alignment horizontal="center" vertical="center"/>
    </xf>
    <xf numFmtId="2" fontId="0" fillId="18" borderId="32" xfId="0" applyNumberFormat="1" applyFill="1" applyBorder="1" applyAlignment="1">
      <alignment horizontal="center" vertical="center"/>
    </xf>
    <xf numFmtId="165" fontId="0" fillId="3" borderId="4" xfId="1" applyNumberFormat="1" applyFont="1" applyFill="1" applyBorder="1" applyAlignment="1">
      <alignment horizontal="center" vertical="center"/>
    </xf>
    <xf numFmtId="165" fontId="0" fillId="3" borderId="6" xfId="1" applyNumberFormat="1" applyFont="1" applyFill="1" applyBorder="1" applyAlignment="1">
      <alignment horizontal="center" vertical="center"/>
    </xf>
    <xf numFmtId="165" fontId="0" fillId="3" borderId="9" xfId="1" applyNumberFormat="1" applyFont="1" applyFill="1" applyBorder="1" applyAlignment="1">
      <alignment horizontal="center" vertical="center"/>
    </xf>
    <xf numFmtId="165" fontId="0" fillId="17" borderId="4" xfId="1" applyNumberFormat="1" applyFont="1" applyFill="1" applyBorder="1" applyAlignment="1">
      <alignment horizontal="center" vertical="center"/>
    </xf>
    <xf numFmtId="165" fontId="0" fillId="17" borderId="6" xfId="1" applyNumberFormat="1" applyFont="1" applyFill="1" applyBorder="1" applyAlignment="1">
      <alignment horizontal="center" vertical="center"/>
    </xf>
    <xf numFmtId="165" fontId="0" fillId="17" borderId="9" xfId="1" applyNumberFormat="1" applyFont="1" applyFill="1" applyBorder="1" applyAlignment="1">
      <alignment horizontal="center" vertical="center"/>
    </xf>
    <xf numFmtId="165" fontId="0" fillId="2" borderId="4" xfId="1" applyNumberFormat="1" applyFont="1" applyFill="1" applyBorder="1" applyAlignment="1">
      <alignment horizontal="center" vertical="center"/>
    </xf>
    <xf numFmtId="165" fontId="0" fillId="2" borderId="6" xfId="1" applyNumberFormat="1" applyFont="1" applyFill="1" applyBorder="1" applyAlignment="1">
      <alignment horizontal="center" vertical="center"/>
    </xf>
    <xf numFmtId="165" fontId="0" fillId="2" borderId="9" xfId="1" applyNumberFormat="1" applyFont="1" applyFill="1" applyBorder="1" applyAlignment="1">
      <alignment horizontal="center" vertical="center"/>
    </xf>
    <xf numFmtId="165" fontId="0" fillId="4" borderId="4" xfId="1" applyNumberFormat="1" applyFont="1" applyFill="1" applyBorder="1" applyAlignment="1">
      <alignment horizontal="center" vertical="center"/>
    </xf>
    <xf numFmtId="165" fontId="0" fillId="4" borderId="6" xfId="1" applyNumberFormat="1" applyFont="1" applyFill="1" applyBorder="1" applyAlignment="1">
      <alignment horizontal="center" vertical="center"/>
    </xf>
    <xf numFmtId="165" fontId="0" fillId="4" borderId="9" xfId="1" applyNumberFormat="1" applyFont="1" applyFill="1" applyBorder="1" applyAlignment="1">
      <alignment horizontal="center" vertical="center"/>
    </xf>
    <xf numFmtId="164" fontId="0" fillId="4" borderId="2" xfId="0" applyNumberFormat="1" applyFill="1" applyBorder="1" applyAlignment="1">
      <alignment horizontal="center" vertical="center"/>
    </xf>
    <xf numFmtId="164" fontId="0" fillId="19" borderId="31" xfId="0" applyNumberFormat="1" applyFill="1" applyBorder="1" applyAlignment="1">
      <alignment horizontal="center" vertical="center"/>
    </xf>
    <xf numFmtId="164" fontId="0" fillId="4" borderId="5" xfId="0" applyNumberFormat="1" applyFill="1" applyBorder="1" applyAlignment="1">
      <alignment horizontal="center" vertical="center"/>
    </xf>
    <xf numFmtId="164" fontId="0" fillId="19" borderId="30" xfId="0" applyNumberFormat="1" applyFill="1" applyBorder="1" applyAlignment="1">
      <alignment horizontal="center" vertical="center"/>
    </xf>
    <xf numFmtId="164" fontId="0" fillId="4" borderId="7" xfId="0" applyNumberFormat="1" applyFill="1" applyBorder="1" applyAlignment="1">
      <alignment horizontal="center" vertical="center"/>
    </xf>
    <xf numFmtId="164" fontId="0" fillId="19" borderId="32" xfId="0" applyNumberFormat="1" applyFill="1" applyBorder="1" applyAlignment="1">
      <alignment horizontal="center" vertical="center"/>
    </xf>
    <xf numFmtId="0" fontId="5" fillId="20" borderId="2" xfId="0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0" borderId="6" xfId="0" applyFont="1" applyFill="1" applyBorder="1" applyAlignment="1">
      <alignment horizontal="center" vertical="center"/>
    </xf>
    <xf numFmtId="0" fontId="5" fillId="20" borderId="7" xfId="0" applyFont="1" applyFill="1" applyBorder="1" applyAlignment="1">
      <alignment horizontal="center" vertical="center"/>
    </xf>
    <xf numFmtId="0" fontId="5" fillId="20" borderId="9" xfId="0" applyFont="1" applyFill="1" applyBorder="1" applyAlignment="1">
      <alignment horizontal="center" vertical="center"/>
    </xf>
    <xf numFmtId="166" fontId="0" fillId="19" borderId="2" xfId="0" applyNumberFormat="1" applyFill="1" applyBorder="1" applyAlignment="1">
      <alignment horizontal="center" vertical="center"/>
    </xf>
    <xf numFmtId="166" fontId="0" fillId="19" borderId="4" xfId="0" applyNumberFormat="1" applyFill="1" applyBorder="1" applyAlignment="1">
      <alignment horizontal="center" vertical="center"/>
    </xf>
    <xf numFmtId="166" fontId="0" fillId="19" borderId="5" xfId="0" applyNumberFormat="1" applyFill="1" applyBorder="1" applyAlignment="1">
      <alignment horizontal="center" vertical="center"/>
    </xf>
    <xf numFmtId="166" fontId="0" fillId="19" borderId="6" xfId="0" applyNumberFormat="1" applyFill="1" applyBorder="1" applyAlignment="1">
      <alignment horizontal="center" vertical="center"/>
    </xf>
    <xf numFmtId="166" fontId="0" fillId="19" borderId="7" xfId="0" applyNumberFormat="1" applyFill="1" applyBorder="1" applyAlignment="1">
      <alignment horizontal="center" vertical="center"/>
    </xf>
    <xf numFmtId="166" fontId="0" fillId="19" borderId="9" xfId="0" applyNumberFormat="1" applyFill="1" applyBorder="1" applyAlignment="1">
      <alignment horizontal="center" vertical="center"/>
    </xf>
    <xf numFmtId="166" fontId="0" fillId="18" borderId="2" xfId="0" applyNumberFormat="1" applyFill="1" applyBorder="1" applyAlignment="1">
      <alignment horizontal="center" vertical="center"/>
    </xf>
    <xf numFmtId="166" fontId="0" fillId="18" borderId="4" xfId="0" applyNumberFormat="1" applyFill="1" applyBorder="1" applyAlignment="1">
      <alignment horizontal="center" vertical="center"/>
    </xf>
    <xf numFmtId="166" fontId="0" fillId="18" borderId="5" xfId="0" applyNumberFormat="1" applyFill="1" applyBorder="1" applyAlignment="1">
      <alignment horizontal="center" vertical="center"/>
    </xf>
    <xf numFmtId="166" fontId="0" fillId="18" borderId="6" xfId="0" applyNumberFormat="1" applyFill="1" applyBorder="1" applyAlignment="1">
      <alignment horizontal="center" vertical="center"/>
    </xf>
    <xf numFmtId="166" fontId="0" fillId="18" borderId="7" xfId="0" applyNumberFormat="1" applyFill="1" applyBorder="1" applyAlignment="1">
      <alignment horizontal="center" vertical="center"/>
    </xf>
    <xf numFmtId="166" fontId="0" fillId="18" borderId="9" xfId="0" applyNumberFormat="1" applyFill="1" applyBorder="1" applyAlignment="1">
      <alignment horizontal="center" vertical="center"/>
    </xf>
    <xf numFmtId="166" fontId="0" fillId="16" borderId="2" xfId="0" applyNumberFormat="1" applyFill="1" applyBorder="1" applyAlignment="1">
      <alignment horizontal="center" vertical="center"/>
    </xf>
    <xf numFmtId="166" fontId="0" fillId="16" borderId="4" xfId="0" applyNumberFormat="1" applyFill="1" applyBorder="1" applyAlignment="1">
      <alignment horizontal="center" vertical="center"/>
    </xf>
    <xf numFmtId="166" fontId="0" fillId="16" borderId="5" xfId="0" applyNumberFormat="1" applyFill="1" applyBorder="1" applyAlignment="1">
      <alignment horizontal="center" vertical="center"/>
    </xf>
    <xf numFmtId="166" fontId="0" fillId="16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166" fontId="0" fillId="16" borderId="9" xfId="0" applyNumberFormat="1" applyFill="1" applyBorder="1" applyAlignment="1">
      <alignment horizontal="center" vertical="center"/>
    </xf>
    <xf numFmtId="166" fontId="0" fillId="15" borderId="2" xfId="0" applyNumberFormat="1" applyFill="1" applyBorder="1" applyAlignment="1">
      <alignment horizontal="center" vertical="center"/>
    </xf>
    <xf numFmtId="166" fontId="0" fillId="15" borderId="4" xfId="0" applyNumberFormat="1" applyFill="1" applyBorder="1" applyAlignment="1">
      <alignment horizontal="center" vertical="center"/>
    </xf>
    <xf numFmtId="166" fontId="0" fillId="15" borderId="5" xfId="0" applyNumberFormat="1" applyFill="1" applyBorder="1" applyAlignment="1">
      <alignment horizontal="center" vertical="center"/>
    </xf>
    <xf numFmtId="166" fontId="0" fillId="15" borderId="6" xfId="0" applyNumberFormat="1" applyFill="1" applyBorder="1" applyAlignment="1">
      <alignment horizontal="center" vertical="center"/>
    </xf>
    <xf numFmtId="166" fontId="0" fillId="15" borderId="7" xfId="0" applyNumberFormat="1" applyFill="1" applyBorder="1" applyAlignment="1">
      <alignment horizontal="center" vertical="center"/>
    </xf>
    <xf numFmtId="166" fontId="0" fillId="15" borderId="9" xfId="0" applyNumberFormat="1" applyFill="1" applyBorder="1" applyAlignment="1">
      <alignment horizontal="center" vertical="center"/>
    </xf>
    <xf numFmtId="0" fontId="5" fillId="20" borderId="37" xfId="0" applyFont="1" applyFill="1" applyBorder="1" applyAlignment="1">
      <alignment horizontal="center" vertical="center"/>
    </xf>
    <xf numFmtId="0" fontId="5" fillId="20" borderId="42" xfId="0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0" borderId="47" xfId="0" applyNumberFormat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166" fontId="0" fillId="5" borderId="49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166" fontId="0" fillId="6" borderId="0" xfId="0" applyNumberFormat="1" applyFill="1" applyAlignment="1">
      <alignment horizontal="center" vertical="center"/>
    </xf>
    <xf numFmtId="0" fontId="0" fillId="6" borderId="49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2" fontId="0" fillId="7" borderId="0" xfId="0" applyNumberFormat="1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166" fontId="0" fillId="7" borderId="0" xfId="0" applyNumberFormat="1" applyFill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164" fontId="0" fillId="8" borderId="47" xfId="0" applyNumberFormat="1" applyFill="1" applyBorder="1" applyAlignment="1">
      <alignment horizontal="center" vertical="center"/>
    </xf>
    <xf numFmtId="165" fontId="0" fillId="8" borderId="47" xfId="0" applyNumberFormat="1" applyFill="1" applyBorder="1" applyAlignment="1">
      <alignment horizontal="center" vertical="center"/>
    </xf>
    <xf numFmtId="166" fontId="0" fillId="8" borderId="47" xfId="0" applyNumberFormat="1" applyFill="1" applyBorder="1" applyAlignment="1">
      <alignment horizontal="center" vertical="center"/>
    </xf>
    <xf numFmtId="0" fontId="0" fillId="8" borderId="50" xfId="0" applyFill="1" applyBorder="1" applyAlignment="1">
      <alignment horizontal="center" vertical="center"/>
    </xf>
    <xf numFmtId="166" fontId="0" fillId="5" borderId="44" xfId="0" applyNumberFormat="1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0" fillId="7" borderId="44" xfId="0" applyFill="1" applyBorder="1" applyAlignment="1">
      <alignment horizontal="center" vertical="center"/>
    </xf>
    <xf numFmtId="0" fontId="0" fillId="8" borderId="45" xfId="0" applyFill="1" applyBorder="1" applyAlignment="1">
      <alignment horizontal="center" vertical="center"/>
    </xf>
    <xf numFmtId="166" fontId="0" fillId="6" borderId="44" xfId="0" applyNumberFormat="1" applyFill="1" applyBorder="1" applyAlignment="1">
      <alignment horizontal="center" vertical="center"/>
    </xf>
    <xf numFmtId="166" fontId="0" fillId="7" borderId="44" xfId="0" applyNumberFormat="1" applyFill="1" applyBorder="1" applyAlignment="1">
      <alignment horizontal="center" vertical="center"/>
    </xf>
    <xf numFmtId="166" fontId="0" fillId="8" borderId="45" xfId="0" applyNumberFormat="1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166" fontId="0" fillId="6" borderId="49" xfId="0" applyNumberFormat="1" applyFill="1" applyBorder="1" applyAlignment="1">
      <alignment horizontal="center" vertical="center"/>
    </xf>
    <xf numFmtId="166" fontId="0" fillId="7" borderId="49" xfId="0" applyNumberFormat="1" applyFill="1" applyBorder="1" applyAlignment="1">
      <alignment horizontal="center" vertical="center"/>
    </xf>
    <xf numFmtId="166" fontId="0" fillId="8" borderId="50" xfId="0" applyNumberForma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5" borderId="52" xfId="0" applyFill="1" applyBorder="1" applyAlignment="1">
      <alignment horizontal="center" vertical="center"/>
    </xf>
    <xf numFmtId="0" fontId="0" fillId="6" borderId="52" xfId="0" applyFill="1" applyBorder="1" applyAlignment="1">
      <alignment horizontal="center" vertical="center"/>
    </xf>
    <xf numFmtId="0" fontId="0" fillId="7" borderId="52" xfId="0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5" fontId="0" fillId="0" borderId="49" xfId="0" applyNumberFormat="1" applyBorder="1" applyAlignment="1">
      <alignment horizontal="center" vertical="center"/>
    </xf>
    <xf numFmtId="165" fontId="0" fillId="0" borderId="50" xfId="0" applyNumberFormat="1" applyBorder="1" applyAlignment="1">
      <alignment horizontal="center" vertical="center"/>
    </xf>
    <xf numFmtId="0" fontId="0" fillId="15" borderId="18" xfId="0" applyFill="1" applyBorder="1" applyAlignment="1">
      <alignment horizontal="center" vertical="center"/>
    </xf>
    <xf numFmtId="0" fontId="0" fillId="15" borderId="19" xfId="0" applyFill="1" applyBorder="1" applyAlignment="1">
      <alignment horizontal="center" vertical="center"/>
    </xf>
    <xf numFmtId="0" fontId="0" fillId="15" borderId="20" xfId="0" applyFill="1" applyBorder="1" applyAlignment="1">
      <alignment horizontal="center" vertical="center"/>
    </xf>
    <xf numFmtId="0" fontId="0" fillId="16" borderId="18" xfId="0" applyFill="1" applyBorder="1" applyAlignment="1">
      <alignment horizontal="center" vertical="center"/>
    </xf>
    <xf numFmtId="0" fontId="0" fillId="16" borderId="19" xfId="0" applyFill="1" applyBorder="1" applyAlignment="1">
      <alignment horizontal="center" vertical="center"/>
    </xf>
    <xf numFmtId="0" fontId="0" fillId="16" borderId="20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8" borderId="19" xfId="0" applyFill="1" applyBorder="1" applyAlignment="1">
      <alignment horizontal="center" vertical="center"/>
    </xf>
    <xf numFmtId="0" fontId="0" fillId="18" borderId="20" xfId="0" applyFill="1" applyBorder="1" applyAlignment="1">
      <alignment horizontal="center" vertical="center"/>
    </xf>
    <xf numFmtId="0" fontId="0" fillId="19" borderId="18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4" fillId="20" borderId="38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20" borderId="40" xfId="0" applyFont="1" applyFill="1" applyBorder="1" applyAlignment="1">
      <alignment horizontal="center" vertical="center"/>
    </xf>
    <xf numFmtId="0" fontId="4" fillId="20" borderId="41" xfId="0" applyFont="1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5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31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5" fillId="20" borderId="36" xfId="0" applyFont="1" applyFill="1" applyBorder="1" applyAlignment="1">
      <alignment horizontal="center" vertical="center"/>
    </xf>
    <xf numFmtId="0" fontId="5" fillId="20" borderId="37" xfId="0" applyFont="1" applyFill="1" applyBorder="1" applyAlignment="1">
      <alignment horizontal="center" vertical="center"/>
    </xf>
    <xf numFmtId="0" fontId="5" fillId="20" borderId="2" xfId="0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7" borderId="1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15" borderId="2" xfId="0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0" fillId="18" borderId="4" xfId="0" applyFill="1" applyBorder="1" applyAlignment="1">
      <alignment horizontal="center" vertical="center"/>
    </xf>
    <xf numFmtId="0" fontId="0" fillId="19" borderId="2" xfId="0" applyFill="1" applyBorder="1" applyAlignment="1">
      <alignment horizontal="center" vertical="center"/>
    </xf>
    <xf numFmtId="0" fontId="0" fillId="19" borderId="4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 vertical="center"/>
    </xf>
    <xf numFmtId="0" fontId="0" fillId="10" borderId="23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2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6" fillId="15" borderId="18" xfId="0" applyFont="1" applyFill="1" applyBorder="1" applyAlignment="1">
      <alignment horizontal="center" vertical="center"/>
    </xf>
    <xf numFmtId="0" fontId="6" fillId="15" borderId="19" xfId="0" applyFont="1" applyFill="1" applyBorder="1" applyAlignment="1">
      <alignment horizontal="center" vertical="center"/>
    </xf>
    <xf numFmtId="0" fontId="6" fillId="16" borderId="18" xfId="0" applyFont="1" applyFill="1" applyBorder="1" applyAlignment="1">
      <alignment horizontal="center" vertical="center"/>
    </xf>
    <xf numFmtId="0" fontId="6" fillId="16" borderId="19" xfId="0" applyFont="1" applyFill="1" applyBorder="1" applyAlignment="1">
      <alignment horizontal="center" vertical="center"/>
    </xf>
    <xf numFmtId="0" fontId="6" fillId="18" borderId="18" xfId="0" applyFont="1" applyFill="1" applyBorder="1" applyAlignment="1">
      <alignment horizontal="center" vertical="center"/>
    </xf>
    <xf numFmtId="0" fontId="6" fillId="18" borderId="19" xfId="0" applyFont="1" applyFill="1" applyBorder="1" applyAlignment="1">
      <alignment horizontal="center" vertical="center"/>
    </xf>
    <xf numFmtId="0" fontId="6" fillId="19" borderId="18" xfId="0" applyFont="1" applyFill="1" applyBorder="1" applyAlignment="1">
      <alignment horizontal="center" vertical="center"/>
    </xf>
    <xf numFmtId="0" fontId="6" fillId="19" borderId="19" xfId="0" applyFont="1" applyFill="1" applyBorder="1" applyAlignment="1">
      <alignment horizontal="center" vertical="center"/>
    </xf>
    <xf numFmtId="166" fontId="6" fillId="15" borderId="19" xfId="0" applyNumberFormat="1" applyFont="1" applyFill="1" applyBorder="1" applyAlignment="1">
      <alignment horizontal="center" vertical="center"/>
    </xf>
    <xf numFmtId="166" fontId="7" fillId="15" borderId="20" xfId="0" applyNumberFormat="1" applyFont="1" applyFill="1" applyBorder="1" applyAlignment="1">
      <alignment horizontal="center" vertical="center"/>
    </xf>
    <xf numFmtId="166" fontId="7" fillId="16" borderId="20" xfId="0" applyNumberFormat="1" applyFont="1" applyFill="1" applyBorder="1" applyAlignment="1">
      <alignment horizontal="center" vertical="center"/>
    </xf>
    <xf numFmtId="166" fontId="6" fillId="16" borderId="19" xfId="0" applyNumberFormat="1" applyFont="1" applyFill="1" applyBorder="1" applyAlignment="1">
      <alignment horizontal="center" vertical="center"/>
    </xf>
    <xf numFmtId="166" fontId="6" fillId="18" borderId="19" xfId="0" applyNumberFormat="1" applyFont="1" applyFill="1" applyBorder="1" applyAlignment="1">
      <alignment horizontal="center" vertical="center"/>
    </xf>
    <xf numFmtId="166" fontId="7" fillId="18" borderId="20" xfId="0" applyNumberFormat="1" applyFont="1" applyFill="1" applyBorder="1" applyAlignment="1">
      <alignment horizontal="center" vertical="center"/>
    </xf>
    <xf numFmtId="166" fontId="7" fillId="19" borderId="20" xfId="0" applyNumberFormat="1" applyFont="1" applyFill="1" applyBorder="1" applyAlignment="1">
      <alignment horizontal="center" vertical="center"/>
    </xf>
    <xf numFmtId="166" fontId="6" fillId="19" borderId="19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wrapText="1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A7A9"/>
      <color rgb="FFFF7C80"/>
      <color rgb="FFFFCCCC"/>
      <color rgb="FF4CAF50"/>
      <color rgb="FFFFC107"/>
      <color rgb="FFF33621"/>
      <color rgb="FF22BDFF"/>
      <color rgb="FFFFE089"/>
      <color rgb="FFAADAAC"/>
      <color rgb="FFFBB6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Bitcoin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31750" cap="rnd" cmpd="dbl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</a:ln>
              <a:effectLst/>
            </c:spPr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FINAL'!$E$3:$E$30</c:f>
              <c:numCache>
                <c:formatCode>0.00</c:formatCode>
                <c:ptCount val="28"/>
                <c:pt idx="0">
                  <c:v>6638.5</c:v>
                </c:pt>
                <c:pt idx="1">
                  <c:v>9229.9</c:v>
                </c:pt>
                <c:pt idx="2">
                  <c:v>10620.5</c:v>
                </c:pt>
                <c:pt idx="3">
                  <c:v>29359.9</c:v>
                </c:pt>
                <c:pt idx="4">
                  <c:v>58718.3</c:v>
                </c:pt>
                <c:pt idx="5">
                  <c:v>33543.599999999999</c:v>
                </c:pt>
                <c:pt idx="6">
                  <c:v>48146</c:v>
                </c:pt>
                <c:pt idx="7">
                  <c:v>47738</c:v>
                </c:pt>
                <c:pt idx="8">
                  <c:v>46297</c:v>
                </c:pt>
                <c:pt idx="9">
                  <c:v>19262.900000000001</c:v>
                </c:pt>
                <c:pt idx="10">
                  <c:v>19311.900000000001</c:v>
                </c:pt>
                <c:pt idx="11">
                  <c:v>16618.400000000001</c:v>
                </c:pt>
                <c:pt idx="12">
                  <c:v>28456.1</c:v>
                </c:pt>
                <c:pt idx="13">
                  <c:v>30586.799999999999</c:v>
                </c:pt>
                <c:pt idx="14">
                  <c:v>27974.5</c:v>
                </c:pt>
                <c:pt idx="15">
                  <c:v>44183.4</c:v>
                </c:pt>
                <c:pt idx="16">
                  <c:v>69664.399999999994</c:v>
                </c:pt>
                <c:pt idx="17">
                  <c:v>62890.1</c:v>
                </c:pt>
                <c:pt idx="18">
                  <c:v>60835.5</c:v>
                </c:pt>
                <c:pt idx="19">
                  <c:v>94560.2</c:v>
                </c:pt>
                <c:pt idx="20">
                  <c:v>85164.2</c:v>
                </c:pt>
                <c:pt idx="21">
                  <c:v>105694.3</c:v>
                </c:pt>
                <c:pt idx="22">
                  <c:v>118576.2</c:v>
                </c:pt>
                <c:pt idx="23">
                  <c:v>88812.1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26-4F73-B1A9-78B6A2048A77}"/>
            </c:ext>
          </c:extLst>
        </c:ser>
        <c:ser>
          <c:idx val="0"/>
          <c:order val="1"/>
          <c:tx>
            <c:v>Monthly</c:v>
          </c:tx>
          <c:spPr>
            <a:ln w="127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triang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09A-41C4-93BF-73A0BE1632D1}"/>
              </c:ext>
            </c:extLst>
          </c:dPt>
          <c:dPt>
            <c:idx val="7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09A-41C4-93BF-73A0BE1632D1}"/>
              </c:ext>
            </c:extLst>
          </c:dPt>
          <c:dPt>
            <c:idx val="11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409A-41C4-93BF-73A0BE1632D1}"/>
              </c:ext>
            </c:extLst>
          </c:dPt>
          <c:dPt>
            <c:idx val="15"/>
            <c:marker>
              <c:symbol val="triangle"/>
              <c:size val="6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409A-41C4-93BF-73A0BE1632D1}"/>
              </c:ext>
            </c:extLst>
          </c:dPt>
          <c:dPt>
            <c:idx val="19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409A-41C4-93BF-73A0BE1632D1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FINAL'!$D$3:$D$30</c:f>
              <c:numCache>
                <c:formatCode>0.00</c:formatCode>
                <c:ptCount val="2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26-4F73-B1A9-78B6A2048A77}"/>
            </c:ext>
          </c:extLst>
        </c:ser>
        <c:ser>
          <c:idx val="2"/>
          <c:order val="2"/>
          <c:tx>
            <c:v>Static</c:v>
          </c:tx>
          <c:spPr>
            <a:ln w="12700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square"/>
            <c:size val="2"/>
            <c:spPr>
              <a:solidFill>
                <a:srgbClr val="4CAF50"/>
              </a:solidFill>
              <a:ln w="9525">
                <a:solidFill>
                  <a:srgbClr val="4CAF50"/>
                </a:solidFill>
              </a:ln>
              <a:effectLst/>
            </c:spPr>
          </c:marker>
          <c:dPt>
            <c:idx val="3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rgbClr val="4CAF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09A-41C4-93BF-73A0BE1632D1}"/>
              </c:ext>
            </c:extLst>
          </c:dPt>
          <c:dPt>
            <c:idx val="7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rgbClr val="4CAF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09A-41C4-93BF-73A0BE1632D1}"/>
              </c:ext>
            </c:extLst>
          </c:dPt>
          <c:dPt>
            <c:idx val="11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rgbClr val="4CAF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09A-41C4-93BF-73A0BE1632D1}"/>
              </c:ext>
            </c:extLst>
          </c:dPt>
          <c:dPt>
            <c:idx val="15"/>
            <c:marker>
              <c:symbol val="square"/>
              <c:size val="4"/>
              <c:spPr>
                <a:solidFill>
                  <a:srgbClr val="4CAF50"/>
                </a:solidFill>
                <a:ln w="9525">
                  <a:solidFill>
                    <a:srgbClr val="4CAF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09A-41C4-93BF-73A0BE1632D1}"/>
              </c:ext>
            </c:extLst>
          </c:dPt>
          <c:dPt>
            <c:idx val="19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rgbClr val="4CAF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409A-41C4-93BF-73A0BE1632D1}"/>
              </c:ext>
            </c:extLst>
          </c:dPt>
          <c:val>
            <c:numRef>
              <c:f>'ARIMA FINAL'!$X$3:$X$30</c:f>
              <c:numCache>
                <c:formatCode>0.00</c:formatCode>
                <c:ptCount val="2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9A-41C4-93BF-73A0BE1632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S&amp;P</a:t>
            </a:r>
            <a:r>
              <a:rPr lang="pt-PT" baseline="0"/>
              <a:t> 500</a:t>
            </a:r>
            <a:endParaRPr lang="pt-P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25400" cap="rnd" cmpd="dbl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</a:ln>
              <a:effectLst/>
            </c:spPr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FINAL'!$I$3:$I$30</c:f>
              <c:numCache>
                <c:formatCode>0.00</c:formatCode>
                <c:ptCount val="28"/>
                <c:pt idx="0">
                  <c:v>2470.5</c:v>
                </c:pt>
                <c:pt idx="1">
                  <c:v>3115.9</c:v>
                </c:pt>
                <c:pt idx="2">
                  <c:v>3380.8</c:v>
                </c:pt>
                <c:pt idx="3">
                  <c:v>3756.1</c:v>
                </c:pt>
                <c:pt idx="4">
                  <c:v>4019.9</c:v>
                </c:pt>
                <c:pt idx="5">
                  <c:v>4319.8999999999996</c:v>
                </c:pt>
                <c:pt idx="6">
                  <c:v>4357</c:v>
                </c:pt>
                <c:pt idx="7">
                  <c:v>4766.2</c:v>
                </c:pt>
                <c:pt idx="8">
                  <c:v>4545.8599999999997</c:v>
                </c:pt>
                <c:pt idx="9">
                  <c:v>3825.33</c:v>
                </c:pt>
                <c:pt idx="10">
                  <c:v>3585.62</c:v>
                </c:pt>
                <c:pt idx="11">
                  <c:v>3839.5</c:v>
                </c:pt>
                <c:pt idx="12">
                  <c:v>4109.3100000000004</c:v>
                </c:pt>
                <c:pt idx="13">
                  <c:v>4450.38</c:v>
                </c:pt>
                <c:pt idx="14">
                  <c:v>4288.05</c:v>
                </c:pt>
                <c:pt idx="15">
                  <c:v>4769.83</c:v>
                </c:pt>
                <c:pt idx="16">
                  <c:v>5243.77</c:v>
                </c:pt>
                <c:pt idx="17">
                  <c:v>5475.09</c:v>
                </c:pt>
                <c:pt idx="18">
                  <c:v>5708.75</c:v>
                </c:pt>
                <c:pt idx="19">
                  <c:v>5881.63</c:v>
                </c:pt>
                <c:pt idx="20">
                  <c:v>5633.07</c:v>
                </c:pt>
                <c:pt idx="21">
                  <c:v>6198.01</c:v>
                </c:pt>
                <c:pt idx="22">
                  <c:v>6711.2</c:v>
                </c:pt>
                <c:pt idx="23">
                  <c:v>6845.5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6F-4489-91EF-E5CE2070D7A5}"/>
            </c:ext>
          </c:extLst>
        </c:ser>
        <c:ser>
          <c:idx val="0"/>
          <c:order val="1"/>
          <c:tx>
            <c:v>Monthly</c:v>
          </c:tx>
          <c:spPr>
            <a:ln w="127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triang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587C-40EF-A4E4-3D7743DF5DD1}"/>
              </c:ext>
            </c:extLst>
          </c:dPt>
          <c:dPt>
            <c:idx val="7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587C-40EF-A4E4-3D7743DF5DD1}"/>
              </c:ext>
            </c:extLst>
          </c:dPt>
          <c:dPt>
            <c:idx val="11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587C-40EF-A4E4-3D7743DF5DD1}"/>
              </c:ext>
            </c:extLst>
          </c:dPt>
          <c:dPt>
            <c:idx val="15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587C-40EF-A4E4-3D7743DF5DD1}"/>
              </c:ext>
            </c:extLst>
          </c:dPt>
          <c:dPt>
            <c:idx val="19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587C-40EF-A4E4-3D7743DF5DD1}"/>
              </c:ext>
            </c:extLst>
          </c:dPt>
          <c:dPt>
            <c:idx val="23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587C-40EF-A4E4-3D7743DF5DD1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FINAL'!$H$3:$H$30</c:f>
              <c:numCache>
                <c:formatCode>0.00</c:formatCode>
                <c:ptCount val="2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6F-4489-91EF-E5CE2070D7A5}"/>
            </c:ext>
          </c:extLst>
        </c:ser>
        <c:ser>
          <c:idx val="2"/>
          <c:order val="2"/>
          <c:tx>
            <c:v>Static</c:v>
          </c:tx>
          <c:spPr>
            <a:ln w="12700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square"/>
            <c:size val="2"/>
            <c:spPr>
              <a:solidFill>
                <a:srgbClr val="4CAF50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87C-40EF-A4E4-3D7743DF5DD1}"/>
              </c:ext>
            </c:extLst>
          </c:dPt>
          <c:dPt>
            <c:idx val="7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587C-40EF-A4E4-3D7743DF5DD1}"/>
              </c:ext>
            </c:extLst>
          </c:dPt>
          <c:dPt>
            <c:idx val="11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587C-40EF-A4E4-3D7743DF5DD1}"/>
              </c:ext>
            </c:extLst>
          </c:dPt>
          <c:dPt>
            <c:idx val="15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587C-40EF-A4E4-3D7743DF5DD1}"/>
              </c:ext>
            </c:extLst>
          </c:dPt>
          <c:dPt>
            <c:idx val="19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587C-40EF-A4E4-3D7743DF5DD1}"/>
              </c:ext>
            </c:extLst>
          </c:dPt>
          <c:dPt>
            <c:idx val="23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587C-40EF-A4E4-3D7743DF5DD1}"/>
              </c:ext>
            </c:extLst>
          </c:dPt>
          <c:val>
            <c:numRef>
              <c:f>'ARIMA FINAL'!$AD$3:$AD$30</c:f>
              <c:numCache>
                <c:formatCode>0.00</c:formatCode>
                <c:ptCount val="2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7C-40EF-A4E4-3D7743DF5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Gold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25400" cap="rnd" cmpd="dbl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</a:ln>
              <a:effectLst/>
            </c:spPr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FINAL'!$M$3:$M$30</c:f>
              <c:numCache>
                <c:formatCode>0.00</c:formatCode>
                <c:ptCount val="28"/>
                <c:pt idx="0">
                  <c:v>1584.1</c:v>
                </c:pt>
                <c:pt idx="1">
                  <c:v>1779.9</c:v>
                </c:pt>
                <c:pt idx="2">
                  <c:v>1912.3</c:v>
                </c:pt>
                <c:pt idx="3">
                  <c:v>1895.1</c:v>
                </c:pt>
                <c:pt idx="4">
                  <c:v>1727.3</c:v>
                </c:pt>
                <c:pt idx="5">
                  <c:v>1776.8</c:v>
                </c:pt>
                <c:pt idx="6">
                  <c:v>1757.7</c:v>
                </c:pt>
                <c:pt idx="7">
                  <c:v>1828.6</c:v>
                </c:pt>
                <c:pt idx="8">
                  <c:v>1951.1</c:v>
                </c:pt>
                <c:pt idx="9">
                  <c:v>1807.3</c:v>
                </c:pt>
                <c:pt idx="10">
                  <c:v>1663.6</c:v>
                </c:pt>
                <c:pt idx="11">
                  <c:v>1826</c:v>
                </c:pt>
                <c:pt idx="12">
                  <c:v>1988.5</c:v>
                </c:pt>
                <c:pt idx="13">
                  <c:v>1917.9</c:v>
                </c:pt>
                <c:pt idx="14">
                  <c:v>1869.5</c:v>
                </c:pt>
                <c:pt idx="15">
                  <c:v>2083.5</c:v>
                </c:pt>
                <c:pt idx="16">
                  <c:v>2245.9</c:v>
                </c:pt>
                <c:pt idx="17">
                  <c:v>2338.9</c:v>
                </c:pt>
                <c:pt idx="18">
                  <c:v>2678.5</c:v>
                </c:pt>
                <c:pt idx="19">
                  <c:v>2618.1</c:v>
                </c:pt>
                <c:pt idx="20">
                  <c:v>3146</c:v>
                </c:pt>
                <c:pt idx="21">
                  <c:v>3349.8</c:v>
                </c:pt>
                <c:pt idx="22">
                  <c:v>3897.5</c:v>
                </c:pt>
                <c:pt idx="23">
                  <c:v>4361.55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95-481E-A3F2-08CDFEFFC837}"/>
            </c:ext>
          </c:extLst>
        </c:ser>
        <c:ser>
          <c:idx val="0"/>
          <c:order val="1"/>
          <c:tx>
            <c:v>Monthly</c:v>
          </c:tx>
          <c:spPr>
            <a:ln w="127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triang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601-4FC7-9EF1-8B48B15AD83D}"/>
              </c:ext>
            </c:extLst>
          </c:dPt>
          <c:dPt>
            <c:idx val="7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601-4FC7-9EF1-8B48B15AD83D}"/>
              </c:ext>
            </c:extLst>
          </c:dPt>
          <c:dPt>
            <c:idx val="11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601-4FC7-9EF1-8B48B15AD83D}"/>
              </c:ext>
            </c:extLst>
          </c:dPt>
          <c:dPt>
            <c:idx val="15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4601-4FC7-9EF1-8B48B15AD83D}"/>
              </c:ext>
            </c:extLst>
          </c:dPt>
          <c:dPt>
            <c:idx val="19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4601-4FC7-9EF1-8B48B15AD83D}"/>
              </c:ext>
            </c:extLst>
          </c:dPt>
          <c:dPt>
            <c:idx val="23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4601-4FC7-9EF1-8B48B15AD83D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FINAL'!$L$3:$L$30</c:f>
              <c:numCache>
                <c:formatCode>0.00</c:formatCode>
                <c:ptCount val="2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95-481E-A3F2-08CDFEFFC837}"/>
            </c:ext>
          </c:extLst>
        </c:ser>
        <c:ser>
          <c:idx val="2"/>
          <c:order val="2"/>
          <c:tx>
            <c:v>Static</c:v>
          </c:tx>
          <c:spPr>
            <a:ln w="12700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square"/>
            <c:size val="2"/>
            <c:spPr>
              <a:solidFill>
                <a:srgbClr val="4CAF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601-4FC7-9EF1-8B48B15AD83D}"/>
              </c:ext>
            </c:extLst>
          </c:dPt>
          <c:dPt>
            <c:idx val="7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601-4FC7-9EF1-8B48B15AD83D}"/>
              </c:ext>
            </c:extLst>
          </c:dPt>
          <c:dPt>
            <c:idx val="11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601-4FC7-9EF1-8B48B15AD83D}"/>
              </c:ext>
            </c:extLst>
          </c:dPt>
          <c:dPt>
            <c:idx val="15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4601-4FC7-9EF1-8B48B15AD83D}"/>
              </c:ext>
            </c:extLst>
          </c:dPt>
          <c:dPt>
            <c:idx val="19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4601-4FC7-9EF1-8B48B15AD83D}"/>
              </c:ext>
            </c:extLst>
          </c:dPt>
          <c:dPt>
            <c:idx val="23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4601-4FC7-9EF1-8B48B15AD83D}"/>
              </c:ext>
            </c:extLst>
          </c:dPt>
          <c:val>
            <c:numRef>
              <c:f>'ARIMA FINAL'!$AJ$3:$AJ$30</c:f>
              <c:numCache>
                <c:formatCode>0.00</c:formatCode>
                <c:ptCount val="2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01-4FC7-9EF1-8B48B15AD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EUR/USD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25400" cap="rnd" cmpd="dbl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  <a:prstDash val="solid"/>
              </a:ln>
              <a:effectLst/>
            </c:spPr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FINAL'!$Q$3:$Q$30</c:f>
              <c:numCache>
                <c:formatCode>0.0000</c:formatCode>
                <c:ptCount val="28"/>
                <c:pt idx="0">
                  <c:v>1.0962000000000001</c:v>
                </c:pt>
                <c:pt idx="1">
                  <c:v>1.125</c:v>
                </c:pt>
                <c:pt idx="2">
                  <c:v>1.1747000000000001</c:v>
                </c:pt>
                <c:pt idx="3">
                  <c:v>1.2213000000000001</c:v>
                </c:pt>
                <c:pt idx="4">
                  <c:v>1.1775</c:v>
                </c:pt>
                <c:pt idx="5">
                  <c:v>1.1848000000000001</c:v>
                </c:pt>
                <c:pt idx="6">
                  <c:v>1.1594</c:v>
                </c:pt>
                <c:pt idx="7">
                  <c:v>1.1368</c:v>
                </c:pt>
                <c:pt idx="8">
                  <c:v>1.1052999999999999</c:v>
                </c:pt>
                <c:pt idx="9">
                  <c:v>1.0427999999999999</c:v>
                </c:pt>
                <c:pt idx="10">
                  <c:v>0.97989999999999999</c:v>
                </c:pt>
                <c:pt idx="11">
                  <c:v>1.0702</c:v>
                </c:pt>
                <c:pt idx="12">
                  <c:v>1.0839000000000001</c:v>
                </c:pt>
                <c:pt idx="13">
                  <c:v>1.091</c:v>
                </c:pt>
                <c:pt idx="14">
                  <c:v>1.0569999999999999</c:v>
                </c:pt>
                <c:pt idx="15">
                  <c:v>1.1044</c:v>
                </c:pt>
                <c:pt idx="16">
                  <c:v>1.0743</c:v>
                </c:pt>
                <c:pt idx="17">
                  <c:v>1.0738000000000001</c:v>
                </c:pt>
                <c:pt idx="18">
                  <c:v>1.1067</c:v>
                </c:pt>
                <c:pt idx="19">
                  <c:v>1.0355000000000001</c:v>
                </c:pt>
                <c:pt idx="20">
                  <c:v>1.0792999999999999</c:v>
                </c:pt>
                <c:pt idx="21">
                  <c:v>1.1807000000000001</c:v>
                </c:pt>
                <c:pt idx="22">
                  <c:v>1.173</c:v>
                </c:pt>
                <c:pt idx="23">
                  <c:v>1.1746000000000001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71-43F5-8518-205CED0CFC7E}"/>
            </c:ext>
          </c:extLst>
        </c:ser>
        <c:ser>
          <c:idx val="0"/>
          <c:order val="1"/>
          <c:tx>
            <c:v>Monthly</c:v>
          </c:tx>
          <c:spPr>
            <a:ln w="127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triangle"/>
            <c:size val="2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9B0E-4AC8-B458-4F7B3FC8BA19}"/>
              </c:ext>
            </c:extLst>
          </c:dPt>
          <c:dPt>
            <c:idx val="7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9B0E-4AC8-B458-4F7B3FC8BA19}"/>
              </c:ext>
            </c:extLst>
          </c:dPt>
          <c:dPt>
            <c:idx val="11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9B0E-4AC8-B458-4F7B3FC8BA19}"/>
              </c:ext>
            </c:extLst>
          </c:dPt>
          <c:dPt>
            <c:idx val="15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9B0E-4AC8-B458-4F7B3FC8BA19}"/>
              </c:ext>
            </c:extLst>
          </c:dPt>
          <c:dPt>
            <c:idx val="19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9B0E-4AC8-B458-4F7B3FC8BA19}"/>
              </c:ext>
            </c:extLst>
          </c:dPt>
          <c:dPt>
            <c:idx val="23"/>
            <c:marker>
              <c:symbol val="triangle"/>
              <c:size val="5"/>
              <c:spPr>
                <a:solidFill>
                  <a:schemeClr val="accent1"/>
                </a:solidFill>
                <a:ln w="1270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9B0E-4AC8-B458-4F7B3FC8BA19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FINAL'!$P$3:$P$30</c:f>
              <c:numCache>
                <c:formatCode>0.0000</c:formatCode>
                <c:ptCount val="2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71-43F5-8518-205CED0CFC7E}"/>
            </c:ext>
          </c:extLst>
        </c:ser>
        <c:ser>
          <c:idx val="2"/>
          <c:order val="2"/>
          <c:tx>
            <c:v>Static</c:v>
          </c:tx>
          <c:spPr>
            <a:ln w="12700" cap="rnd">
              <a:solidFill>
                <a:srgbClr val="4CAF50"/>
              </a:solidFill>
              <a:prstDash val="sysDash"/>
              <a:round/>
            </a:ln>
            <a:effectLst/>
          </c:spPr>
          <c:marker>
            <c:symbol val="square"/>
            <c:size val="2"/>
            <c:spPr>
              <a:solidFill>
                <a:srgbClr val="4CAF50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9B0E-4AC8-B458-4F7B3FC8BA19}"/>
              </c:ext>
            </c:extLst>
          </c:dPt>
          <c:dPt>
            <c:idx val="7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9B0E-4AC8-B458-4F7B3FC8BA19}"/>
              </c:ext>
            </c:extLst>
          </c:dPt>
          <c:dPt>
            <c:idx val="11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9B0E-4AC8-B458-4F7B3FC8BA19}"/>
              </c:ext>
            </c:extLst>
          </c:dPt>
          <c:dPt>
            <c:idx val="15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B0E-4AC8-B458-4F7B3FC8BA19}"/>
              </c:ext>
            </c:extLst>
          </c:dPt>
          <c:dPt>
            <c:idx val="19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B0E-4AC8-B458-4F7B3FC8BA19}"/>
              </c:ext>
            </c:extLst>
          </c:dPt>
          <c:dPt>
            <c:idx val="23"/>
            <c:marker>
              <c:symbol val="squar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9B0E-4AC8-B458-4F7B3FC8BA19}"/>
              </c:ext>
            </c:extLst>
          </c:dPt>
          <c:val>
            <c:numRef>
              <c:f>'ARIMA FINAL'!$AP$3:$AP$30</c:f>
              <c:numCache>
                <c:formatCode>0.0000</c:formatCode>
                <c:ptCount val="2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0E-4AC8-B458-4F7B3FC8B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ax val="1.3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Average</a:t>
            </a:r>
            <a:r>
              <a:rPr lang="pt-PT" baseline="0"/>
              <a:t> Absolute Error - Monthly ARIMA Model</a:t>
            </a:r>
            <a:endParaRPr lang="pt-P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0.12514200811395945"/>
          <c:y val="0.24882203998446503"/>
          <c:w val="0.8426721739665346"/>
          <c:h val="0.595606236263160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'ARIMA FINAL'!$AU$23</c:f>
              <c:strCache>
                <c:ptCount val="1"/>
                <c:pt idx="0">
                  <c:v>Bitcoin</c:v>
                </c:pt>
              </c:strCache>
            </c:strRef>
          </c:tx>
          <c:spPr>
            <a:solidFill>
              <a:srgbClr val="22BDFF"/>
            </a:solidFill>
            <a:ln>
              <a:noFill/>
            </a:ln>
            <a:effectLst/>
          </c:spPr>
          <c:invertIfNegative val="0"/>
          <c:cat>
            <c:strRef>
              <c:f>'ARIMA FINAL'!$AT$24</c:f>
              <c:strCache>
                <c:ptCount val="1"/>
                <c:pt idx="0">
                  <c:v>Monthly</c:v>
                </c:pt>
              </c:strCache>
            </c:strRef>
          </c:cat>
          <c:val>
            <c:numRef>
              <c:f>'ARIMA FINAL'!$AU$24</c:f>
              <c:numCache>
                <c:formatCode>0.000%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EC-48FA-8019-F1BA75611285}"/>
            </c:ext>
          </c:extLst>
        </c:ser>
        <c:ser>
          <c:idx val="1"/>
          <c:order val="1"/>
          <c:tx>
            <c:strRef>
              <c:f>'ARIMA FINAL'!$AV$23</c:f>
              <c:strCache>
                <c:ptCount val="1"/>
                <c:pt idx="0">
                  <c:v>S&amp;P 500</c:v>
                </c:pt>
              </c:strCache>
            </c:strRef>
          </c:tx>
          <c:spPr>
            <a:solidFill>
              <a:srgbClr val="F33621"/>
            </a:solidFill>
            <a:ln>
              <a:noFill/>
            </a:ln>
            <a:effectLst/>
          </c:spPr>
          <c:invertIfNegative val="0"/>
          <c:cat>
            <c:strRef>
              <c:f>'ARIMA FINAL'!$AT$24</c:f>
              <c:strCache>
                <c:ptCount val="1"/>
                <c:pt idx="0">
                  <c:v>Monthly</c:v>
                </c:pt>
              </c:strCache>
            </c:strRef>
          </c:cat>
          <c:val>
            <c:numRef>
              <c:f>'ARIMA FINAL'!$AV$24</c:f>
              <c:numCache>
                <c:formatCode>0.000%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EC-48FA-8019-F1BA75611285}"/>
            </c:ext>
          </c:extLst>
        </c:ser>
        <c:ser>
          <c:idx val="2"/>
          <c:order val="2"/>
          <c:tx>
            <c:strRef>
              <c:f>'ARIMA FINAL'!$AW$23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FINAL'!$AT$24</c:f>
              <c:strCache>
                <c:ptCount val="1"/>
                <c:pt idx="0">
                  <c:v>Monthly</c:v>
                </c:pt>
              </c:strCache>
            </c:strRef>
          </c:cat>
          <c:val>
            <c:numRef>
              <c:f>'ARIMA FINAL'!$AW$24</c:f>
              <c:numCache>
                <c:formatCode>0.000%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EC-48FA-8019-F1BA75611285}"/>
            </c:ext>
          </c:extLst>
        </c:ser>
        <c:ser>
          <c:idx val="3"/>
          <c:order val="3"/>
          <c:tx>
            <c:strRef>
              <c:f>'ARIMA FINAL'!$AX$23</c:f>
              <c:strCache>
                <c:ptCount val="1"/>
                <c:pt idx="0">
                  <c:v>EUR/USD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cat>
            <c:strRef>
              <c:f>'ARIMA FINAL'!$AT$24</c:f>
              <c:strCache>
                <c:ptCount val="1"/>
                <c:pt idx="0">
                  <c:v>Monthly</c:v>
                </c:pt>
              </c:strCache>
            </c:strRef>
          </c:cat>
          <c:val>
            <c:numRef>
              <c:f>'ARIMA FINAL'!$AX$24</c:f>
              <c:numCache>
                <c:formatCode>0.000%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8EC-48FA-8019-F1BA75611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20"/>
        <c:axId val="289416640"/>
        <c:axId val="289427680"/>
      </c:barChart>
      <c:catAx>
        <c:axId val="2894166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89427680"/>
        <c:crosses val="autoZero"/>
        <c:auto val="1"/>
        <c:lblAlgn val="ctr"/>
        <c:lblOffset val="100"/>
        <c:noMultiLvlLbl val="0"/>
      </c:catAx>
      <c:valAx>
        <c:axId val="289427680"/>
        <c:scaling>
          <c:orientation val="minMax"/>
          <c:max val="3.0000000000000009E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8941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Average</a:t>
            </a:r>
            <a:r>
              <a:rPr lang="pt-PT" baseline="0"/>
              <a:t> Absolute Error - Static ARIMA Model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'ARIMA FINAL'!$AU$23</c:f>
              <c:strCache>
                <c:ptCount val="1"/>
                <c:pt idx="0">
                  <c:v>Bitcoin</c:v>
                </c:pt>
              </c:strCache>
            </c:strRef>
          </c:tx>
          <c:spPr>
            <a:solidFill>
              <a:srgbClr val="22BDFF"/>
            </a:solidFill>
            <a:ln>
              <a:noFill/>
            </a:ln>
            <a:effectLst/>
          </c:spPr>
          <c:invertIfNegative val="0"/>
          <c:cat>
            <c:strRef>
              <c:f>'ARIMA FINAL'!$AT$25</c:f>
              <c:strCache>
                <c:ptCount val="1"/>
                <c:pt idx="0">
                  <c:v>Static</c:v>
                </c:pt>
              </c:strCache>
            </c:strRef>
          </c:cat>
          <c:val>
            <c:numRef>
              <c:f>'ARIMA FINAL'!$AU$25</c:f>
              <c:numCache>
                <c:formatCode>0.000%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09-4969-8EF7-367B2415F259}"/>
            </c:ext>
          </c:extLst>
        </c:ser>
        <c:ser>
          <c:idx val="1"/>
          <c:order val="1"/>
          <c:tx>
            <c:strRef>
              <c:f>'ARIMA FINAL'!$AV$23</c:f>
              <c:strCache>
                <c:ptCount val="1"/>
                <c:pt idx="0">
                  <c:v>S&amp;P 500</c:v>
                </c:pt>
              </c:strCache>
            </c:strRef>
          </c:tx>
          <c:spPr>
            <a:solidFill>
              <a:srgbClr val="F33621"/>
            </a:solidFill>
            <a:ln>
              <a:noFill/>
            </a:ln>
            <a:effectLst/>
          </c:spPr>
          <c:invertIfNegative val="0"/>
          <c:cat>
            <c:strRef>
              <c:f>'ARIMA FINAL'!$AT$25</c:f>
              <c:strCache>
                <c:ptCount val="1"/>
                <c:pt idx="0">
                  <c:v>Static</c:v>
                </c:pt>
              </c:strCache>
            </c:strRef>
          </c:cat>
          <c:val>
            <c:numRef>
              <c:f>'ARIMA FINAL'!$AV$25</c:f>
              <c:numCache>
                <c:formatCode>0.000%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09-4969-8EF7-367B2415F259}"/>
            </c:ext>
          </c:extLst>
        </c:ser>
        <c:ser>
          <c:idx val="2"/>
          <c:order val="2"/>
          <c:tx>
            <c:strRef>
              <c:f>'ARIMA FINAL'!$AW$23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FINAL'!$AT$25</c:f>
              <c:strCache>
                <c:ptCount val="1"/>
                <c:pt idx="0">
                  <c:v>Static</c:v>
                </c:pt>
              </c:strCache>
            </c:strRef>
          </c:cat>
          <c:val>
            <c:numRef>
              <c:f>'ARIMA FINAL'!$AW$25</c:f>
              <c:numCache>
                <c:formatCode>0.000%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09-4969-8EF7-367B2415F259}"/>
            </c:ext>
          </c:extLst>
        </c:ser>
        <c:ser>
          <c:idx val="3"/>
          <c:order val="3"/>
          <c:tx>
            <c:strRef>
              <c:f>'ARIMA FINAL'!$AX$23</c:f>
              <c:strCache>
                <c:ptCount val="1"/>
                <c:pt idx="0">
                  <c:v>EUR/USD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cat>
            <c:strRef>
              <c:f>'ARIMA FINAL'!$AT$25</c:f>
              <c:strCache>
                <c:ptCount val="1"/>
                <c:pt idx="0">
                  <c:v>Static</c:v>
                </c:pt>
              </c:strCache>
            </c:strRef>
          </c:cat>
          <c:val>
            <c:numRef>
              <c:f>'ARIMA FINAL'!$AX$25</c:f>
              <c:numCache>
                <c:formatCode>0.000%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9-4969-8EF7-367B2415F2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overlap val="-20"/>
        <c:axId val="289385920"/>
        <c:axId val="289399360"/>
      </c:barChart>
      <c:catAx>
        <c:axId val="28938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89399360"/>
        <c:crosses val="autoZero"/>
        <c:auto val="1"/>
        <c:lblAlgn val="ctr"/>
        <c:lblOffset val="100"/>
        <c:noMultiLvlLbl val="0"/>
      </c:catAx>
      <c:valAx>
        <c:axId val="289399360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28938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ABS</a:t>
            </a:r>
            <a:r>
              <a:rPr lang="pt-PT" baseline="0"/>
              <a:t>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1"/>
          <c:tx>
            <c:strRef>
              <c:f>'ARIMA ANALYSIS'!$A$5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ANALYSIS'!$B$5:$F$5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EE-481B-853C-DBC2B5C6132B}"/>
            </c:ext>
          </c:extLst>
        </c:ser>
        <c:ser>
          <c:idx val="1"/>
          <c:order val="2"/>
          <c:tx>
            <c:strRef>
              <c:f>'ARIMA ANALYSIS'!$A$3</c:f>
              <c:strCache>
                <c:ptCount val="1"/>
                <c:pt idx="0">
                  <c:v>S&amp;P500</c:v>
                </c:pt>
              </c:strCache>
            </c:strRef>
          </c:tx>
          <c:spPr>
            <a:solidFill>
              <a:srgbClr val="F33621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ANALYSIS'!$B$3:$F$3</c:f>
              <c:numCache>
                <c:formatCode>0.00%</c:formatCode>
                <c:ptCount val="5"/>
                <c:pt idx="0">
                  <c:v>0.130167169295241</c:v>
                </c:pt>
                <c:pt idx="1">
                  <c:v>5.3669333445252694E-3</c:v>
                </c:pt>
                <c:pt idx="2">
                  <c:v>0.12912372015400433</c:v>
                </c:pt>
                <c:pt idx="3">
                  <c:v>5.5213967295835919E-3</c:v>
                </c:pt>
                <c:pt idx="4">
                  <c:v>0.12555312369212876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EE-481B-853C-DBC2B5C6132B}"/>
            </c:ext>
          </c:extLst>
        </c:ser>
        <c:ser>
          <c:idx val="4"/>
          <c:order val="4"/>
          <c:tx>
            <c:strRef>
              <c:f>'ARIMA ANALYSIS'!$A$6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ANALYSIS'!$B$6:$F$6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EE-481B-853C-DBC2B5C6132B}"/>
            </c:ext>
          </c:extLst>
        </c:ser>
        <c:ser>
          <c:idx val="5"/>
          <c:order val="5"/>
          <c:tx>
            <c:strRef>
              <c:f>'ARIMA ANALYSIS'!$A$7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ANALYSIS'!$B$7:$F$7</c:f>
              <c:numCache>
                <c:formatCode>0.00%</c:formatCode>
                <c:ptCount val="5"/>
                <c:pt idx="0">
                  <c:v>0.11815919350437008</c:v>
                </c:pt>
                <c:pt idx="1">
                  <c:v>4.0144838116363381E-3</c:v>
                </c:pt>
                <c:pt idx="2">
                  <c:v>0.11658479721638716</c:v>
                </c:pt>
                <c:pt idx="3">
                  <c:v>4.3725639207581333E-3</c:v>
                </c:pt>
                <c:pt idx="4">
                  <c:v>0.10299876208610644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EE-481B-853C-DBC2B5C6132B}"/>
            </c:ext>
          </c:extLst>
        </c:ser>
        <c:ser>
          <c:idx val="6"/>
          <c:order val="6"/>
          <c:tx>
            <c:strRef>
              <c:f>'ARIMA ANALYSIS'!$A$8</c:f>
              <c:strCache>
                <c:ptCount val="1"/>
                <c:pt idx="0">
                  <c:v>EUR/USD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ANALYSIS'!$B$8:$F$8</c:f>
              <c:numCache>
                <c:formatCode>0.00%</c:formatCode>
                <c:ptCount val="5"/>
                <c:pt idx="0">
                  <c:v>5.4821890430214487E-2</c:v>
                </c:pt>
                <c:pt idx="1">
                  <c:v>1.7264471176856864E-3</c:v>
                </c:pt>
                <c:pt idx="2">
                  <c:v>5.4183547798500049E-2</c:v>
                </c:pt>
                <c:pt idx="3">
                  <c:v>1.7571768166273812E-3</c:v>
                </c:pt>
                <c:pt idx="4">
                  <c:v>5.9392464248066379E-2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417236591"/>
        <c:axId val="1417248591"/>
        <c:extLst>
          <c:ext xmlns:c15="http://schemas.microsoft.com/office/drawing/2012/chart" uri="{02D57815-91ED-43cb-92C2-25804820EDAC}">
            <c15:filteredBa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'ARIMA ANALYSIS'!$A$4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'ARIMA ANALYSIS'!$B$1:$F$1</c15:sqref>
                        </c15:formulaRef>
                      </c:ext>
                    </c:extLst>
                    <c:strCache>
                      <c:ptCount val="5"/>
                      <c:pt idx="0">
                        <c:v>Static</c:v>
                      </c:pt>
                      <c:pt idx="1">
                        <c:v>Monthly</c:v>
                      </c:pt>
                      <c:pt idx="2">
                        <c:v>Monthly Prop</c:v>
                      </c:pt>
                      <c:pt idx="3">
                        <c:v>Rolling</c:v>
                      </c:pt>
                      <c:pt idx="4">
                        <c:v>Rolling Prop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'ARIMA ANALYSIS'!$B$4:$F$4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CEE-481B-853C-DBC2B5C6132B}"/>
                  </c:ext>
                </c:extLst>
              </c15:ser>
            </c15:filteredBarSeries>
          </c:ext>
        </c:extLst>
      </c:barChart>
      <c:barChart>
        <c:barDir val="col"/>
        <c:grouping val="clustered"/>
        <c:varyColors val="0"/>
        <c:ser>
          <c:idx val="0"/>
          <c:order val="0"/>
          <c:tx>
            <c:strRef>
              <c:f>'ARIMA ANALYSIS'!$A$2</c:f>
              <c:strCache>
                <c:ptCount val="1"/>
                <c:pt idx="0">
                  <c:v>Bitcoin</c:v>
                </c:pt>
              </c:strCache>
            </c:strRef>
          </c:tx>
          <c:spPr>
            <a:solidFill>
              <a:srgbClr val="22BDFF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ANALYSIS'!$B$2:$F$2</c:f>
              <c:numCache>
                <c:formatCode>0.00%</c:formatCode>
                <c:ptCount val="5"/>
                <c:pt idx="0">
                  <c:v>1.0265439941037653</c:v>
                </c:pt>
                <c:pt idx="1">
                  <c:v>2.3603105615269012E-2</c:v>
                </c:pt>
                <c:pt idx="2">
                  <c:v>0.97926702621680883</c:v>
                </c:pt>
                <c:pt idx="3">
                  <c:v>3.6161156765879422E-2</c:v>
                </c:pt>
                <c:pt idx="4">
                  <c:v>0.69414892117823801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417244751"/>
        <c:axId val="1417241871"/>
      </c:barChart>
      <c:catAx>
        <c:axId val="141723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8591"/>
        <c:crosses val="autoZero"/>
        <c:auto val="1"/>
        <c:lblAlgn val="ctr"/>
        <c:lblOffset val="100"/>
        <c:noMultiLvlLbl val="0"/>
      </c:catAx>
      <c:valAx>
        <c:axId val="1417248591"/>
        <c:scaling>
          <c:orientation val="minMax"/>
          <c:max val="0.1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65000"/>
                  <a:lumOff val="35000"/>
                  <a:alpha val="5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36591"/>
        <c:crosses val="autoZero"/>
        <c:crossBetween val="between"/>
      </c:valAx>
      <c:valAx>
        <c:axId val="1417241871"/>
        <c:scaling>
          <c:orientation val="minMax"/>
          <c:max val="1.7000000000000002"/>
          <c:min val="0"/>
        </c:scaling>
        <c:delete val="0"/>
        <c:axPos val="r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2BDFF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4751"/>
        <c:crosses val="max"/>
        <c:crossBetween val="between"/>
      </c:valAx>
      <c:catAx>
        <c:axId val="1417244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17241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158236</xdr:rowOff>
    </xdr:from>
    <xdr:to>
      <xdr:col>7</xdr:col>
      <xdr:colOff>132522</xdr:colOff>
      <xdr:row>52</xdr:row>
      <xdr:rowOff>71229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49CC0-2B6A-7BE6-B592-D2D2E130B0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250843</xdr:colOff>
      <xdr:row>35</xdr:row>
      <xdr:rowOff>147890</xdr:rowOff>
    </xdr:from>
    <xdr:to>
      <xdr:col>15</xdr:col>
      <xdr:colOff>337961</xdr:colOff>
      <xdr:row>52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535996-DC55-4028-86B8-342163FE6C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429340</xdr:colOff>
      <xdr:row>35</xdr:row>
      <xdr:rowOff>149940</xdr:rowOff>
    </xdr:from>
    <xdr:to>
      <xdr:col>22</xdr:col>
      <xdr:colOff>387926</xdr:colOff>
      <xdr:row>52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7E0B2A-F4CE-4A5A-B50C-CD92103346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533666</xdr:colOff>
      <xdr:row>35</xdr:row>
      <xdr:rowOff>146931</xdr:rowOff>
    </xdr:from>
    <xdr:to>
      <xdr:col>29</xdr:col>
      <xdr:colOff>228202</xdr:colOff>
      <xdr:row>52</xdr:row>
      <xdr:rowOff>12700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AA9991-B0E2-4990-8E11-ABCABD2D9E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587324</xdr:colOff>
      <xdr:row>35</xdr:row>
      <xdr:rowOff>166595</xdr:rowOff>
    </xdr:from>
    <xdr:to>
      <xdr:col>35</xdr:col>
      <xdr:colOff>615533</xdr:colOff>
      <xdr:row>51</xdr:row>
      <xdr:rowOff>9929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7570B0D-35FF-B866-7C8E-78AA84A05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13767</xdr:colOff>
      <xdr:row>36</xdr:row>
      <xdr:rowOff>2964</xdr:rowOff>
    </xdr:from>
    <xdr:to>
      <xdr:col>42</xdr:col>
      <xdr:colOff>9455</xdr:colOff>
      <xdr:row>51</xdr:row>
      <xdr:rowOff>33695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502F82C-6B04-7D39-C73D-22830DAFBE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354018</xdr:colOff>
      <xdr:row>0</xdr:row>
      <xdr:rowOff>102629</xdr:rowOff>
    </xdr:from>
    <xdr:to>
      <xdr:col>15</xdr:col>
      <xdr:colOff>63500</xdr:colOff>
      <xdr:row>14</xdr:row>
      <xdr:rowOff>119063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98CBF4-9FFD-AE6A-E5C0-0EC071F3BB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B9917-06D9-4C7A-9E6D-A3082C65B7AC}">
  <sheetPr>
    <tabColor rgb="FFFF0000"/>
  </sheetPr>
  <dimension ref="A1:AX32"/>
  <sheetViews>
    <sheetView tabSelected="1" zoomScale="73" zoomScaleNormal="90" workbookViewId="0">
      <selection activeCell="BA12" sqref="BA12"/>
    </sheetView>
  </sheetViews>
  <sheetFormatPr defaultRowHeight="14.5" x14ac:dyDescent="0.35"/>
  <cols>
    <col min="1" max="1" width="8.81640625" style="91" bestFit="1" customWidth="1"/>
    <col min="2" max="2" width="16.26953125" style="91" customWidth="1"/>
    <col min="3" max="3" width="8.7265625" style="91"/>
    <col min="4" max="4" width="9.26953125" style="91" bestFit="1" customWidth="1"/>
    <col min="5" max="5" width="9.453125" style="91" bestFit="1" customWidth="1"/>
    <col min="6" max="6" width="9.36328125" style="91" bestFit="1" customWidth="1"/>
    <col min="7" max="8" width="8.7265625" style="91"/>
    <col min="9" max="9" width="8.81640625" style="91" bestFit="1" customWidth="1"/>
    <col min="10" max="10" width="9.36328125" style="91" bestFit="1" customWidth="1"/>
    <col min="11" max="12" width="8.7265625" style="91"/>
    <col min="13" max="13" width="8.81640625" style="91" bestFit="1" customWidth="1"/>
    <col min="14" max="14" width="9.36328125" style="91" bestFit="1" customWidth="1"/>
    <col min="15" max="15" width="8.7265625" style="91"/>
    <col min="16" max="16" width="8.81640625" style="91" bestFit="1" customWidth="1"/>
    <col min="17" max="17" width="8.90625" style="91" bestFit="1" customWidth="1"/>
    <col min="18" max="18" width="9.36328125" style="91" bestFit="1" customWidth="1"/>
    <col min="19" max="19" width="8.90625" style="91" bestFit="1" customWidth="1"/>
    <col min="20" max="20" width="13.26953125" style="91" customWidth="1"/>
    <col min="21" max="21" width="8.7265625" style="91"/>
    <col min="22" max="22" width="11.81640625" style="91" customWidth="1"/>
    <col min="23" max="23" width="11.6328125" style="91" customWidth="1"/>
    <col min="24" max="24" width="10.81640625" style="91" customWidth="1"/>
    <col min="25" max="25" width="10.81640625" style="91" bestFit="1" customWidth="1"/>
    <col min="26" max="26" width="11.1796875" style="91" bestFit="1" customWidth="1"/>
    <col min="27" max="27" width="8.7265625" style="91"/>
    <col min="28" max="28" width="11.81640625" style="91" customWidth="1"/>
    <col min="29" max="29" width="13.1796875" style="91" customWidth="1"/>
    <col min="30" max="30" width="9.90625" style="91" customWidth="1"/>
    <col min="31" max="31" width="8.90625" style="91" bestFit="1" customWidth="1"/>
    <col min="32" max="32" width="11.08984375" style="91" bestFit="1" customWidth="1"/>
    <col min="33" max="33" width="8.7265625" style="91"/>
    <col min="34" max="34" width="12.36328125" style="91" customWidth="1"/>
    <col min="35" max="35" width="12" style="91" customWidth="1"/>
    <col min="36" max="36" width="9.7265625" style="91" customWidth="1"/>
    <col min="37" max="37" width="8.90625" style="91" bestFit="1" customWidth="1"/>
    <col min="38" max="38" width="11.08984375" style="91" bestFit="1" customWidth="1"/>
    <col min="39" max="39" width="8.7265625" style="91"/>
    <col min="40" max="40" width="13.7265625" style="91" customWidth="1"/>
    <col min="41" max="41" width="12.6328125" style="91" customWidth="1"/>
    <col min="42" max="42" width="9.90625" style="91" customWidth="1"/>
    <col min="43" max="43" width="8.81640625" style="91" bestFit="1" customWidth="1"/>
    <col min="44" max="44" width="10.7265625" style="91" customWidth="1"/>
    <col min="45" max="45" width="8.7265625" style="91"/>
    <col min="46" max="46" width="12.453125" style="91" customWidth="1"/>
    <col min="47" max="47" width="12.81640625" style="91" customWidth="1"/>
    <col min="48" max="48" width="12.1796875" style="91" customWidth="1"/>
    <col min="49" max="49" width="12.54296875" style="91" customWidth="1"/>
    <col min="50" max="50" width="11.453125" style="91" customWidth="1"/>
    <col min="51" max="16384" width="8.7265625" style="91"/>
  </cols>
  <sheetData>
    <row r="1" spans="1:50" ht="15" thickBot="1" x14ac:dyDescent="0.4">
      <c r="A1" s="245" t="s">
        <v>85</v>
      </c>
      <c r="B1" s="246"/>
      <c r="C1" s="231" t="s">
        <v>35</v>
      </c>
      <c r="D1" s="232"/>
      <c r="E1" s="232"/>
      <c r="F1" s="233"/>
      <c r="G1" s="234" t="s">
        <v>36</v>
      </c>
      <c r="H1" s="235"/>
      <c r="I1" s="235"/>
      <c r="J1" s="236"/>
      <c r="K1" s="237" t="s">
        <v>38</v>
      </c>
      <c r="L1" s="238"/>
      <c r="M1" s="238"/>
      <c r="N1" s="239"/>
      <c r="O1" s="240" t="s">
        <v>39</v>
      </c>
      <c r="P1" s="241"/>
      <c r="Q1" s="241"/>
      <c r="R1" s="242"/>
      <c r="S1" s="245" t="s">
        <v>86</v>
      </c>
      <c r="T1" s="246"/>
      <c r="U1" s="231" t="s">
        <v>35</v>
      </c>
      <c r="V1" s="259"/>
      <c r="W1" s="259"/>
      <c r="X1" s="232"/>
      <c r="Y1" s="232"/>
      <c r="Z1" s="233"/>
      <c r="AA1" s="234" t="s">
        <v>36</v>
      </c>
      <c r="AB1" s="260"/>
      <c r="AC1" s="260"/>
      <c r="AD1" s="235"/>
      <c r="AE1" s="235"/>
      <c r="AF1" s="236"/>
      <c r="AG1" s="237" t="s">
        <v>38</v>
      </c>
      <c r="AH1" s="261"/>
      <c r="AI1" s="261"/>
      <c r="AJ1" s="238"/>
      <c r="AK1" s="238"/>
      <c r="AL1" s="239"/>
      <c r="AM1" s="240" t="s">
        <v>39</v>
      </c>
      <c r="AN1" s="262"/>
      <c r="AO1" s="262"/>
      <c r="AP1" s="241"/>
      <c r="AQ1" s="241"/>
      <c r="AR1" s="242"/>
      <c r="AU1" s="245" t="s">
        <v>95</v>
      </c>
      <c r="AV1" s="246"/>
    </row>
    <row r="2" spans="1:50" ht="15" thickBot="1" x14ac:dyDescent="0.4">
      <c r="A2" s="243" t="s">
        <v>54</v>
      </c>
      <c r="B2" s="244"/>
      <c r="C2" s="92" t="s">
        <v>53</v>
      </c>
      <c r="D2" s="93" t="s">
        <v>1</v>
      </c>
      <c r="E2" s="94" t="s">
        <v>8</v>
      </c>
      <c r="F2" s="95" t="s">
        <v>10</v>
      </c>
      <c r="G2" s="96" t="s">
        <v>53</v>
      </c>
      <c r="H2" s="97" t="s">
        <v>1</v>
      </c>
      <c r="I2" s="96" t="s">
        <v>8</v>
      </c>
      <c r="J2" s="97" t="s">
        <v>10</v>
      </c>
      <c r="K2" s="98" t="s">
        <v>53</v>
      </c>
      <c r="L2" s="99" t="s">
        <v>1</v>
      </c>
      <c r="M2" s="98" t="s">
        <v>8</v>
      </c>
      <c r="N2" s="99" t="s">
        <v>10</v>
      </c>
      <c r="O2" s="100" t="s">
        <v>53</v>
      </c>
      <c r="P2" s="101" t="s">
        <v>1</v>
      </c>
      <c r="Q2" s="100" t="s">
        <v>8</v>
      </c>
      <c r="R2" s="101" t="s">
        <v>10</v>
      </c>
      <c r="S2" s="243" t="s">
        <v>54</v>
      </c>
      <c r="T2" s="244"/>
      <c r="U2" s="95" t="s">
        <v>53</v>
      </c>
      <c r="V2" s="266" t="s">
        <v>87</v>
      </c>
      <c r="W2" s="267"/>
      <c r="X2" s="93" t="s">
        <v>1</v>
      </c>
      <c r="Y2" s="94" t="s">
        <v>8</v>
      </c>
      <c r="Z2" s="95" t="s">
        <v>10</v>
      </c>
      <c r="AA2" s="97" t="s">
        <v>53</v>
      </c>
      <c r="AB2" s="268" t="s">
        <v>87</v>
      </c>
      <c r="AC2" s="269"/>
      <c r="AD2" s="97" t="s">
        <v>1</v>
      </c>
      <c r="AE2" s="96" t="s">
        <v>8</v>
      </c>
      <c r="AF2" s="97" t="s">
        <v>10</v>
      </c>
      <c r="AG2" s="99" t="s">
        <v>53</v>
      </c>
      <c r="AH2" s="270" t="s">
        <v>87</v>
      </c>
      <c r="AI2" s="271"/>
      <c r="AJ2" s="99" t="s">
        <v>1</v>
      </c>
      <c r="AK2" s="98" t="s">
        <v>8</v>
      </c>
      <c r="AL2" s="99" t="s">
        <v>10</v>
      </c>
      <c r="AM2" s="101" t="s">
        <v>53</v>
      </c>
      <c r="AN2" s="272" t="s">
        <v>87</v>
      </c>
      <c r="AO2" s="273"/>
      <c r="AP2" s="101" t="s">
        <v>1</v>
      </c>
      <c r="AQ2" s="100" t="s">
        <v>8</v>
      </c>
      <c r="AR2" s="101" t="s">
        <v>10</v>
      </c>
      <c r="AU2" s="245" t="s">
        <v>87</v>
      </c>
      <c r="AV2" s="246"/>
    </row>
    <row r="3" spans="1:50" x14ac:dyDescent="0.35">
      <c r="A3" s="227">
        <v>2020</v>
      </c>
      <c r="B3" s="168" t="s">
        <v>55</v>
      </c>
      <c r="C3" s="215" t="s">
        <v>83</v>
      </c>
      <c r="D3" s="102"/>
      <c r="E3" s="103">
        <v>6638.5</v>
      </c>
      <c r="F3" s="120">
        <f>(D3-E3)/E3</f>
        <v>-1</v>
      </c>
      <c r="G3" s="218" t="s">
        <v>84</v>
      </c>
      <c r="H3" s="108"/>
      <c r="I3" s="109">
        <v>2470.5</v>
      </c>
      <c r="J3" s="123">
        <f>(H3-I3)/I3</f>
        <v>-1</v>
      </c>
      <c r="K3" s="221" t="s">
        <v>84</v>
      </c>
      <c r="L3" s="114"/>
      <c r="M3" s="115">
        <v>1584.1</v>
      </c>
      <c r="N3" s="126">
        <f>(L3-M3)/M3</f>
        <v>-1</v>
      </c>
      <c r="O3" s="224" t="s">
        <v>84</v>
      </c>
      <c r="P3" s="132"/>
      <c r="Q3" s="133">
        <v>1.0962000000000001</v>
      </c>
      <c r="R3" s="129">
        <f>(P3-Q3)/Q3</f>
        <v>-1</v>
      </c>
      <c r="S3" s="227">
        <v>2020</v>
      </c>
      <c r="T3" s="168" t="s">
        <v>55</v>
      </c>
      <c r="U3" s="247" t="s">
        <v>83</v>
      </c>
      <c r="V3" s="162">
        <v>0.83641399999999999</v>
      </c>
      <c r="W3" s="163">
        <v>-0.84614500000000004</v>
      </c>
      <c r="X3" s="102"/>
      <c r="Y3" s="103">
        <v>6638.5</v>
      </c>
      <c r="Z3" s="120">
        <f>(X3-Y3)/Y3</f>
        <v>-1</v>
      </c>
      <c r="AA3" s="250" t="s">
        <v>84</v>
      </c>
      <c r="AB3" s="156">
        <v>-8.0033000000000007E-2</v>
      </c>
      <c r="AC3" s="157">
        <v>0</v>
      </c>
      <c r="AD3" s="108"/>
      <c r="AE3" s="109">
        <v>2470.5</v>
      </c>
      <c r="AF3" s="123">
        <f>(AD3-AE3)/AE3</f>
        <v>-1</v>
      </c>
      <c r="AG3" s="253" t="s">
        <v>84</v>
      </c>
      <c r="AH3" s="150">
        <v>-1.4593999999999999E-2</v>
      </c>
      <c r="AI3" s="151">
        <v>0</v>
      </c>
      <c r="AJ3" s="114"/>
      <c r="AK3" s="115">
        <v>1584.1</v>
      </c>
      <c r="AL3" s="126">
        <f>(AJ3-AK3)/AK3</f>
        <v>-1</v>
      </c>
      <c r="AM3" s="256" t="s">
        <v>84</v>
      </c>
      <c r="AN3" s="144">
        <v>-1.6071999999999999E-2</v>
      </c>
      <c r="AO3" s="145">
        <v>0</v>
      </c>
      <c r="AP3" s="132"/>
      <c r="AQ3" s="133">
        <v>1.0962000000000001</v>
      </c>
      <c r="AR3" s="129">
        <f>(AP3-AQ3)/AQ3</f>
        <v>-1</v>
      </c>
      <c r="AU3" s="138" t="s">
        <v>88</v>
      </c>
      <c r="AV3" s="139" t="s">
        <v>92</v>
      </c>
    </row>
    <row r="4" spans="1:50" x14ac:dyDescent="0.35">
      <c r="A4" s="228"/>
      <c r="B4" s="141" t="s">
        <v>56</v>
      </c>
      <c r="C4" s="216"/>
      <c r="D4" s="104"/>
      <c r="E4" s="105">
        <v>9229.9</v>
      </c>
      <c r="F4" s="121">
        <f>(D4-E4)/E4</f>
        <v>-1</v>
      </c>
      <c r="G4" s="219"/>
      <c r="H4" s="110"/>
      <c r="I4" s="111">
        <v>3115.9</v>
      </c>
      <c r="J4" s="124">
        <f>(H4-I4)/I4</f>
        <v>-1</v>
      </c>
      <c r="K4" s="222"/>
      <c r="L4" s="116"/>
      <c r="M4" s="117">
        <v>1779.9</v>
      </c>
      <c r="N4" s="127">
        <f>(L4-M4)/M4</f>
        <v>-1</v>
      </c>
      <c r="O4" s="225"/>
      <c r="P4" s="134"/>
      <c r="Q4" s="135">
        <v>1.125</v>
      </c>
      <c r="R4" s="130">
        <f>(P4-Q4)/Q4</f>
        <v>-1</v>
      </c>
      <c r="S4" s="228"/>
      <c r="T4" s="141" t="s">
        <v>56</v>
      </c>
      <c r="U4" s="248"/>
      <c r="V4" s="164">
        <v>-0.58754300000000004</v>
      </c>
      <c r="W4" s="165">
        <v>0.42247299999999999</v>
      </c>
      <c r="X4" s="104"/>
      <c r="Y4" s="105">
        <v>9229.9</v>
      </c>
      <c r="Z4" s="121">
        <f>(X4-Y4)/Y4</f>
        <v>-1</v>
      </c>
      <c r="AA4" s="251"/>
      <c r="AB4" s="158">
        <v>0</v>
      </c>
      <c r="AC4" s="159">
        <v>0</v>
      </c>
      <c r="AD4" s="110"/>
      <c r="AE4" s="111">
        <v>3115.9</v>
      </c>
      <c r="AF4" s="124">
        <f>(AD4-AE4)/AE4</f>
        <v>-1</v>
      </c>
      <c r="AG4" s="254"/>
      <c r="AH4" s="152">
        <v>0</v>
      </c>
      <c r="AI4" s="153">
        <v>0</v>
      </c>
      <c r="AJ4" s="116"/>
      <c r="AK4" s="117">
        <v>1779.9</v>
      </c>
      <c r="AL4" s="127">
        <f>(AJ4-AK4)/AK4</f>
        <v>-1</v>
      </c>
      <c r="AM4" s="257"/>
      <c r="AN4" s="146">
        <v>0</v>
      </c>
      <c r="AO4" s="147">
        <v>0</v>
      </c>
      <c r="AP4" s="134"/>
      <c r="AQ4" s="135">
        <v>1.125</v>
      </c>
      <c r="AR4" s="130">
        <f>(AP4-AQ4)/AQ4</f>
        <v>-1</v>
      </c>
      <c r="AU4" s="140" t="s">
        <v>89</v>
      </c>
      <c r="AV4" s="141" t="s">
        <v>93</v>
      </c>
    </row>
    <row r="5" spans="1:50" x14ac:dyDescent="0.35">
      <c r="A5" s="228"/>
      <c r="B5" s="141" t="s">
        <v>57</v>
      </c>
      <c r="C5" s="216"/>
      <c r="D5" s="104"/>
      <c r="E5" s="105">
        <v>10620.5</v>
      </c>
      <c r="F5" s="121">
        <f>(D5-E5)/E5</f>
        <v>-1</v>
      </c>
      <c r="G5" s="219"/>
      <c r="H5" s="110"/>
      <c r="I5" s="111">
        <v>3380.8</v>
      </c>
      <c r="J5" s="124">
        <f>(H5-I5)/I5</f>
        <v>-1</v>
      </c>
      <c r="K5" s="222"/>
      <c r="L5" s="116"/>
      <c r="M5" s="117">
        <v>1912.3</v>
      </c>
      <c r="N5" s="127">
        <f>(L5-M5)/M5</f>
        <v>-1</v>
      </c>
      <c r="O5" s="225"/>
      <c r="P5" s="134"/>
      <c r="Q5" s="135">
        <v>1.1747000000000001</v>
      </c>
      <c r="R5" s="130">
        <f>(P5-Q5)/Q5</f>
        <v>-1</v>
      </c>
      <c r="S5" s="228"/>
      <c r="T5" s="141" t="s">
        <v>57</v>
      </c>
      <c r="U5" s="248"/>
      <c r="V5" s="164">
        <v>0.14529800000000001</v>
      </c>
      <c r="W5" s="165">
        <v>0</v>
      </c>
      <c r="X5" s="104"/>
      <c r="Y5" s="105">
        <v>10620.5</v>
      </c>
      <c r="Z5" s="121">
        <f>(X5-Y5)/Y5</f>
        <v>-1</v>
      </c>
      <c r="AA5" s="251"/>
      <c r="AB5" s="158">
        <v>0</v>
      </c>
      <c r="AC5" s="159">
        <v>0</v>
      </c>
      <c r="AD5" s="110"/>
      <c r="AE5" s="111">
        <v>3380.8</v>
      </c>
      <c r="AF5" s="124">
        <f>(AD5-AE5)/AE5</f>
        <v>-1</v>
      </c>
      <c r="AG5" s="254"/>
      <c r="AH5" s="152">
        <v>0</v>
      </c>
      <c r="AI5" s="153">
        <v>0</v>
      </c>
      <c r="AJ5" s="116"/>
      <c r="AK5" s="117">
        <v>1912.3</v>
      </c>
      <c r="AL5" s="127">
        <f>(AJ5-AK5)/AK5</f>
        <v>-1</v>
      </c>
      <c r="AM5" s="257"/>
      <c r="AN5" s="146">
        <v>0</v>
      </c>
      <c r="AO5" s="147">
        <v>0</v>
      </c>
      <c r="AP5" s="134"/>
      <c r="AQ5" s="135">
        <v>1.1747000000000001</v>
      </c>
      <c r="AR5" s="130">
        <f>(AP5-AQ5)/AQ5</f>
        <v>-1</v>
      </c>
      <c r="AU5" s="140" t="s">
        <v>90</v>
      </c>
      <c r="AV5" s="141" t="s">
        <v>94</v>
      </c>
    </row>
    <row r="6" spans="1:50" ht="15" thickBot="1" x14ac:dyDescent="0.4">
      <c r="A6" s="230"/>
      <c r="B6" s="141" t="s">
        <v>58</v>
      </c>
      <c r="C6" s="217"/>
      <c r="D6" s="106"/>
      <c r="E6" s="107">
        <v>29359.9</v>
      </c>
      <c r="F6" s="122">
        <f>(D6-E6)/E6</f>
        <v>-1</v>
      </c>
      <c r="G6" s="220"/>
      <c r="H6" s="112"/>
      <c r="I6" s="113">
        <v>3756.1</v>
      </c>
      <c r="J6" s="125">
        <f>(H6-I6)/I6</f>
        <v>-1</v>
      </c>
      <c r="K6" s="223"/>
      <c r="L6" s="118"/>
      <c r="M6" s="119">
        <v>1895.1</v>
      </c>
      <c r="N6" s="128">
        <f>(L6-M6)/M6</f>
        <v>-1</v>
      </c>
      <c r="O6" s="226"/>
      <c r="P6" s="136"/>
      <c r="Q6" s="137">
        <v>1.2213000000000001</v>
      </c>
      <c r="R6" s="131">
        <f>(P6-Q6)/Q6</f>
        <v>-1</v>
      </c>
      <c r="S6" s="230"/>
      <c r="T6" s="141" t="s">
        <v>58</v>
      </c>
      <c r="U6" s="249"/>
      <c r="V6" s="166">
        <v>3.2360000000000002E-3</v>
      </c>
      <c r="W6" s="167">
        <v>4.6369999999999996E-3</v>
      </c>
      <c r="X6" s="106"/>
      <c r="Y6" s="107">
        <v>29359.9</v>
      </c>
      <c r="Z6" s="122">
        <f>(X6-Y6)/Y6</f>
        <v>-1</v>
      </c>
      <c r="AA6" s="252"/>
      <c r="AB6" s="160">
        <v>1.0900000000000001E-4</v>
      </c>
      <c r="AC6" s="161">
        <v>9.7E-5</v>
      </c>
      <c r="AD6" s="112"/>
      <c r="AE6" s="113">
        <v>3756.1</v>
      </c>
      <c r="AF6" s="125">
        <f>(AD6-AE6)/AE6</f>
        <v>-1</v>
      </c>
      <c r="AG6" s="255"/>
      <c r="AH6" s="154">
        <v>2.3000000000000001E-4</v>
      </c>
      <c r="AI6" s="155">
        <v>8.2999999999999998E-5</v>
      </c>
      <c r="AJ6" s="118"/>
      <c r="AK6" s="119">
        <v>1895.1</v>
      </c>
      <c r="AL6" s="128">
        <f>(AJ6-AK6)/AK6</f>
        <v>-1</v>
      </c>
      <c r="AM6" s="258"/>
      <c r="AN6" s="148">
        <v>1.2E-5</v>
      </c>
      <c r="AO6" s="149">
        <v>2.5999999999999998E-5</v>
      </c>
      <c r="AP6" s="136"/>
      <c r="AQ6" s="137">
        <v>1.2213000000000001</v>
      </c>
      <c r="AR6" s="131">
        <f>(AP6-AQ6)/AQ6</f>
        <v>-1</v>
      </c>
      <c r="AU6" s="142" t="s">
        <v>91</v>
      </c>
      <c r="AV6" s="143" t="s">
        <v>96</v>
      </c>
    </row>
    <row r="7" spans="1:50" ht="15" thickBot="1" x14ac:dyDescent="0.4">
      <c r="A7" s="227">
        <v>2021</v>
      </c>
      <c r="B7" s="168" t="s">
        <v>59</v>
      </c>
      <c r="C7" s="215" t="s">
        <v>83</v>
      </c>
      <c r="D7" s="102"/>
      <c r="E7" s="103">
        <v>58718.3</v>
      </c>
      <c r="F7" s="120">
        <f t="shared" ref="F7:F30" si="0">(D7-E7)/E7</f>
        <v>-1</v>
      </c>
      <c r="G7" s="218" t="s">
        <v>84</v>
      </c>
      <c r="H7" s="108"/>
      <c r="I7" s="109">
        <v>4019.9</v>
      </c>
      <c r="J7" s="123">
        <f t="shared" ref="J7:J30" si="1">(H7-I7)/I7</f>
        <v>-1</v>
      </c>
      <c r="K7" s="221" t="s">
        <v>84</v>
      </c>
      <c r="L7" s="114"/>
      <c r="M7" s="115">
        <v>1727.3</v>
      </c>
      <c r="N7" s="126">
        <f t="shared" ref="N7:N30" si="2">(L7-M7)/M7</f>
        <v>-1</v>
      </c>
      <c r="O7" s="224" t="s">
        <v>84</v>
      </c>
      <c r="P7" s="132"/>
      <c r="Q7" s="133">
        <v>1.1775</v>
      </c>
      <c r="R7" s="129">
        <f t="shared" ref="R7:R30" si="3">(P7-Q7)/Q7</f>
        <v>-1</v>
      </c>
      <c r="S7" s="227">
        <v>2021</v>
      </c>
      <c r="T7" s="168" t="s">
        <v>59</v>
      </c>
      <c r="U7" s="247" t="s">
        <v>83</v>
      </c>
      <c r="V7" s="162">
        <v>0.83153600000000005</v>
      </c>
      <c r="W7" s="163">
        <v>-0.84875100000000003</v>
      </c>
      <c r="X7" s="102"/>
      <c r="Y7" s="103">
        <v>58718.3</v>
      </c>
      <c r="Z7" s="120">
        <f t="shared" ref="Z7:Z30" si="4">(X7-Y7)/Y7</f>
        <v>-1</v>
      </c>
      <c r="AA7" s="250" t="s">
        <v>84</v>
      </c>
      <c r="AB7" s="156">
        <v>-0.10562000000000001</v>
      </c>
      <c r="AC7" s="157">
        <v>0</v>
      </c>
      <c r="AD7" s="108"/>
      <c r="AE7" s="109">
        <v>4019.9</v>
      </c>
      <c r="AF7" s="123">
        <f t="shared" ref="AF7:AF30" si="5">(AD7-AE7)/AE7</f>
        <v>-1</v>
      </c>
      <c r="AG7" s="253" t="s">
        <v>84</v>
      </c>
      <c r="AH7" s="150">
        <v>-1.2926E-2</v>
      </c>
      <c r="AI7" s="151">
        <v>0</v>
      </c>
      <c r="AJ7" s="114"/>
      <c r="AK7" s="115">
        <v>1727.3</v>
      </c>
      <c r="AL7" s="126">
        <f t="shared" ref="AL7:AL30" si="6">(AJ7-AK7)/AK7</f>
        <v>-1</v>
      </c>
      <c r="AM7" s="256" t="s">
        <v>84</v>
      </c>
      <c r="AN7" s="144">
        <v>-1.2011000000000001E-2</v>
      </c>
      <c r="AO7" s="145">
        <v>0</v>
      </c>
      <c r="AP7" s="132"/>
      <c r="AQ7" s="133">
        <v>1.1775</v>
      </c>
      <c r="AR7" s="129">
        <f t="shared" ref="AR7:AR30" si="7">(AP7-AQ7)/AQ7</f>
        <v>-1</v>
      </c>
    </row>
    <row r="8" spans="1:50" ht="15" thickBot="1" x14ac:dyDescent="0.4">
      <c r="A8" s="228"/>
      <c r="B8" s="141" t="s">
        <v>60</v>
      </c>
      <c r="C8" s="216"/>
      <c r="D8" s="104"/>
      <c r="E8" s="105">
        <v>33543.599999999999</v>
      </c>
      <c r="F8" s="121">
        <f t="shared" si="0"/>
        <v>-1</v>
      </c>
      <c r="G8" s="219"/>
      <c r="H8" s="110"/>
      <c r="I8" s="111">
        <v>4319.8999999999996</v>
      </c>
      <c r="J8" s="124">
        <f t="shared" si="1"/>
        <v>-1</v>
      </c>
      <c r="K8" s="222"/>
      <c r="L8" s="116"/>
      <c r="M8" s="117">
        <v>1776.8</v>
      </c>
      <c r="N8" s="127">
        <f t="shared" si="2"/>
        <v>-1</v>
      </c>
      <c r="O8" s="225"/>
      <c r="P8" s="134"/>
      <c r="Q8" s="135">
        <v>1.1848000000000001</v>
      </c>
      <c r="R8" s="130">
        <f t="shared" si="3"/>
        <v>-1</v>
      </c>
      <c r="S8" s="228"/>
      <c r="T8" s="141" t="s">
        <v>60</v>
      </c>
      <c r="U8" s="248"/>
      <c r="V8" s="164">
        <v>-0.59722500000000001</v>
      </c>
      <c r="W8" s="165">
        <v>0.447378</v>
      </c>
      <c r="X8" s="104"/>
      <c r="Y8" s="105">
        <v>33543.599999999999</v>
      </c>
      <c r="Z8" s="121">
        <f t="shared" si="4"/>
        <v>-1</v>
      </c>
      <c r="AA8" s="251"/>
      <c r="AB8" s="158">
        <v>0</v>
      </c>
      <c r="AC8" s="159">
        <v>0</v>
      </c>
      <c r="AD8" s="110"/>
      <c r="AE8" s="111">
        <v>4319.8999999999996</v>
      </c>
      <c r="AF8" s="124">
        <f t="shared" si="5"/>
        <v>-1</v>
      </c>
      <c r="AG8" s="254"/>
      <c r="AH8" s="152">
        <v>0</v>
      </c>
      <c r="AI8" s="153">
        <v>0</v>
      </c>
      <c r="AJ8" s="116"/>
      <c r="AK8" s="117">
        <v>1776.8</v>
      </c>
      <c r="AL8" s="127">
        <f t="shared" si="6"/>
        <v>-1</v>
      </c>
      <c r="AM8" s="257"/>
      <c r="AN8" s="146">
        <v>0</v>
      </c>
      <c r="AO8" s="147">
        <v>0</v>
      </c>
      <c r="AP8" s="134"/>
      <c r="AQ8" s="135">
        <v>1.1848000000000001</v>
      </c>
      <c r="AR8" s="130">
        <f t="shared" si="7"/>
        <v>-1</v>
      </c>
      <c r="AT8" s="263" t="s">
        <v>97</v>
      </c>
      <c r="AU8" s="264"/>
      <c r="AV8" s="264"/>
      <c r="AW8" s="264"/>
      <c r="AX8" s="265"/>
    </row>
    <row r="9" spans="1:50" ht="15" thickBot="1" x14ac:dyDescent="0.4">
      <c r="A9" s="228"/>
      <c r="B9" s="141" t="s">
        <v>61</v>
      </c>
      <c r="C9" s="216"/>
      <c r="D9" s="104"/>
      <c r="E9" s="105">
        <v>48146</v>
      </c>
      <c r="F9" s="121">
        <f t="shared" si="0"/>
        <v>-1</v>
      </c>
      <c r="G9" s="219"/>
      <c r="H9" s="110"/>
      <c r="I9" s="111">
        <v>4357</v>
      </c>
      <c r="J9" s="124">
        <f t="shared" si="1"/>
        <v>-1</v>
      </c>
      <c r="K9" s="222"/>
      <c r="L9" s="116"/>
      <c r="M9" s="117">
        <v>1757.7</v>
      </c>
      <c r="N9" s="127">
        <f t="shared" si="2"/>
        <v>-1</v>
      </c>
      <c r="O9" s="225"/>
      <c r="P9" s="134"/>
      <c r="Q9" s="135">
        <v>1.1594</v>
      </c>
      <c r="R9" s="130">
        <f t="shared" si="3"/>
        <v>-1</v>
      </c>
      <c r="S9" s="228"/>
      <c r="T9" s="141" t="s">
        <v>61</v>
      </c>
      <c r="U9" s="248"/>
      <c r="V9" s="164">
        <v>0.13331100000000001</v>
      </c>
      <c r="W9" s="165">
        <v>0</v>
      </c>
      <c r="X9" s="104"/>
      <c r="Y9" s="105">
        <v>48146</v>
      </c>
      <c r="Z9" s="121">
        <f t="shared" si="4"/>
        <v>-1</v>
      </c>
      <c r="AA9" s="251"/>
      <c r="AB9" s="158">
        <v>0</v>
      </c>
      <c r="AC9" s="159">
        <v>0</v>
      </c>
      <c r="AD9" s="110"/>
      <c r="AE9" s="111">
        <v>4357</v>
      </c>
      <c r="AF9" s="124">
        <f t="shared" si="5"/>
        <v>-1</v>
      </c>
      <c r="AG9" s="254"/>
      <c r="AH9" s="152">
        <v>0</v>
      </c>
      <c r="AI9" s="153">
        <v>0</v>
      </c>
      <c r="AJ9" s="116"/>
      <c r="AK9" s="117">
        <v>1757.7</v>
      </c>
      <c r="AL9" s="127">
        <f t="shared" si="6"/>
        <v>-1</v>
      </c>
      <c r="AM9" s="257"/>
      <c r="AN9" s="146">
        <v>0</v>
      </c>
      <c r="AO9" s="147">
        <v>0</v>
      </c>
      <c r="AP9" s="134"/>
      <c r="AQ9" s="135">
        <v>1.1594</v>
      </c>
      <c r="AR9" s="130">
        <f t="shared" si="7"/>
        <v>-1</v>
      </c>
      <c r="AT9" s="207" t="s">
        <v>98</v>
      </c>
      <c r="AU9" s="208" t="s">
        <v>35</v>
      </c>
      <c r="AV9" s="209" t="s">
        <v>36</v>
      </c>
      <c r="AW9" s="210" t="s">
        <v>38</v>
      </c>
      <c r="AX9" s="211" t="s">
        <v>39</v>
      </c>
    </row>
    <row r="10" spans="1:50" ht="15" thickBot="1" x14ac:dyDescent="0.4">
      <c r="A10" s="228"/>
      <c r="B10" s="141" t="s">
        <v>62</v>
      </c>
      <c r="C10" s="217"/>
      <c r="D10" s="106"/>
      <c r="E10" s="107">
        <v>47738</v>
      </c>
      <c r="F10" s="122">
        <f t="shared" si="0"/>
        <v>-1</v>
      </c>
      <c r="G10" s="220"/>
      <c r="H10" s="112"/>
      <c r="I10" s="113">
        <v>4766.2</v>
      </c>
      <c r="J10" s="125">
        <f t="shared" si="1"/>
        <v>-1</v>
      </c>
      <c r="K10" s="223"/>
      <c r="L10" s="118"/>
      <c r="M10" s="119">
        <v>1828.6</v>
      </c>
      <c r="N10" s="128">
        <f t="shared" si="2"/>
        <v>-1</v>
      </c>
      <c r="O10" s="226"/>
      <c r="P10" s="136"/>
      <c r="Q10" s="137">
        <v>1.1368</v>
      </c>
      <c r="R10" s="131">
        <f t="shared" si="3"/>
        <v>-1</v>
      </c>
      <c r="S10" s="228"/>
      <c r="T10" s="141" t="s">
        <v>62</v>
      </c>
      <c r="U10" s="249"/>
      <c r="V10" s="166">
        <v>3.29E-3</v>
      </c>
      <c r="W10" s="167">
        <v>4.3689999999999996E-3</v>
      </c>
      <c r="X10" s="106"/>
      <c r="Y10" s="107">
        <v>47738</v>
      </c>
      <c r="Z10" s="122">
        <f t="shared" si="4"/>
        <v>-1</v>
      </c>
      <c r="AA10" s="252"/>
      <c r="AB10" s="160">
        <v>1.2400000000000001E-4</v>
      </c>
      <c r="AC10" s="161">
        <v>1.07E-4</v>
      </c>
      <c r="AD10" s="112"/>
      <c r="AE10" s="113">
        <v>4766.2</v>
      </c>
      <c r="AF10" s="125">
        <f t="shared" si="5"/>
        <v>-1</v>
      </c>
      <c r="AG10" s="255"/>
      <c r="AH10" s="154">
        <v>2.4800000000000001E-4</v>
      </c>
      <c r="AI10" s="155">
        <v>8.5000000000000006E-5</v>
      </c>
      <c r="AJ10" s="118"/>
      <c r="AK10" s="119">
        <v>1828.6</v>
      </c>
      <c r="AL10" s="128">
        <f t="shared" si="6"/>
        <v>-1</v>
      </c>
      <c r="AM10" s="258"/>
      <c r="AN10" s="148">
        <v>2.3E-5</v>
      </c>
      <c r="AO10" s="149">
        <v>2.5999999999999998E-5</v>
      </c>
      <c r="AP10" s="136"/>
      <c r="AQ10" s="137">
        <v>1.1368</v>
      </c>
      <c r="AR10" s="131">
        <f t="shared" si="7"/>
        <v>-1</v>
      </c>
      <c r="AT10" s="174" t="s">
        <v>99</v>
      </c>
      <c r="AU10" s="177">
        <v>88812.1</v>
      </c>
      <c r="AV10" s="182">
        <v>6845.5</v>
      </c>
      <c r="AW10" s="187">
        <v>4361.55</v>
      </c>
      <c r="AX10" s="192">
        <v>1.1746000000000001</v>
      </c>
    </row>
    <row r="11" spans="1:50" x14ac:dyDescent="0.35">
      <c r="A11" s="227">
        <v>2022</v>
      </c>
      <c r="B11" s="168" t="s">
        <v>63</v>
      </c>
      <c r="C11" s="215" t="s">
        <v>83</v>
      </c>
      <c r="D11" s="102"/>
      <c r="E11" s="103">
        <v>46297</v>
      </c>
      <c r="F11" s="120">
        <f t="shared" si="0"/>
        <v>-1</v>
      </c>
      <c r="G11" s="218" t="s">
        <v>84</v>
      </c>
      <c r="H11" s="108"/>
      <c r="I11" s="109">
        <v>4545.8599999999997</v>
      </c>
      <c r="J11" s="123">
        <f t="shared" si="1"/>
        <v>-1</v>
      </c>
      <c r="K11" s="221" t="s">
        <v>84</v>
      </c>
      <c r="L11" s="114"/>
      <c r="M11" s="115">
        <v>1951.1</v>
      </c>
      <c r="N11" s="126">
        <f t="shared" si="2"/>
        <v>-1</v>
      </c>
      <c r="O11" s="224" t="s">
        <v>84</v>
      </c>
      <c r="P11" s="132"/>
      <c r="Q11" s="133">
        <v>1.1052999999999999</v>
      </c>
      <c r="R11" s="129">
        <f t="shared" si="3"/>
        <v>-1</v>
      </c>
      <c r="S11" s="227">
        <v>2022</v>
      </c>
      <c r="T11" s="168" t="s">
        <v>63</v>
      </c>
      <c r="U11" s="247" t="s">
        <v>83</v>
      </c>
      <c r="V11" s="162">
        <v>0.83025499999999997</v>
      </c>
      <c r="W11" s="163">
        <v>-0.84928300000000001</v>
      </c>
      <c r="X11" s="102"/>
      <c r="Y11" s="103">
        <v>46297</v>
      </c>
      <c r="Z11" s="120">
        <f t="shared" si="4"/>
        <v>-1</v>
      </c>
      <c r="AA11" s="250" t="s">
        <v>84</v>
      </c>
      <c r="AB11" s="156">
        <v>-0.10388699999999999</v>
      </c>
      <c r="AC11" s="157">
        <v>0</v>
      </c>
      <c r="AD11" s="108"/>
      <c r="AE11" s="109">
        <v>4545.8599999999997</v>
      </c>
      <c r="AF11" s="123">
        <f t="shared" si="5"/>
        <v>-1</v>
      </c>
      <c r="AG11" s="253" t="s">
        <v>84</v>
      </c>
      <c r="AH11" s="150">
        <v>-1.3643000000000001E-2</v>
      </c>
      <c r="AI11" s="151">
        <v>0</v>
      </c>
      <c r="AJ11" s="114"/>
      <c r="AK11" s="115">
        <v>1951.1</v>
      </c>
      <c r="AL11" s="126">
        <f t="shared" si="6"/>
        <v>-1</v>
      </c>
      <c r="AM11" s="256" t="s">
        <v>84</v>
      </c>
      <c r="AN11" s="144">
        <v>-1.2930000000000001E-2</v>
      </c>
      <c r="AO11" s="145">
        <v>0</v>
      </c>
      <c r="AP11" s="132"/>
      <c r="AQ11" s="133">
        <v>1.1052999999999999</v>
      </c>
      <c r="AR11" s="129">
        <f t="shared" si="7"/>
        <v>-1</v>
      </c>
      <c r="AT11" s="174" t="s">
        <v>1</v>
      </c>
      <c r="AU11" s="177">
        <v>8728751.6699999999</v>
      </c>
      <c r="AV11" s="182">
        <v>4104.3900000000003</v>
      </c>
      <c r="AW11" s="187">
        <v>2523.25</v>
      </c>
      <c r="AX11" s="192">
        <v>1.1509</v>
      </c>
    </row>
    <row r="12" spans="1:50" ht="15" thickBot="1" x14ac:dyDescent="0.4">
      <c r="A12" s="228"/>
      <c r="B12" s="141" t="s">
        <v>64</v>
      </c>
      <c r="C12" s="216"/>
      <c r="D12" s="104"/>
      <c r="E12" s="105">
        <v>19262.900000000001</v>
      </c>
      <c r="F12" s="121">
        <f t="shared" si="0"/>
        <v>-1</v>
      </c>
      <c r="G12" s="219"/>
      <c r="H12" s="110"/>
      <c r="I12" s="111">
        <v>3825.33</v>
      </c>
      <c r="J12" s="124">
        <f t="shared" si="1"/>
        <v>-1</v>
      </c>
      <c r="K12" s="222"/>
      <c r="L12" s="116"/>
      <c r="M12" s="117">
        <v>1807.3</v>
      </c>
      <c r="N12" s="127">
        <f t="shared" si="2"/>
        <v>-1</v>
      </c>
      <c r="O12" s="225"/>
      <c r="P12" s="134"/>
      <c r="Q12" s="135">
        <v>1.0427999999999999</v>
      </c>
      <c r="R12" s="130">
        <f t="shared" si="3"/>
        <v>-1</v>
      </c>
      <c r="S12" s="228"/>
      <c r="T12" s="141" t="s">
        <v>64</v>
      </c>
      <c r="U12" s="248"/>
      <c r="V12" s="164">
        <v>-0.60023300000000002</v>
      </c>
      <c r="W12" s="165">
        <v>0.45742699999999997</v>
      </c>
      <c r="X12" s="104"/>
      <c r="Y12" s="105">
        <v>19262.900000000001</v>
      </c>
      <c r="Z12" s="121">
        <f t="shared" si="4"/>
        <v>-1</v>
      </c>
      <c r="AA12" s="251"/>
      <c r="AB12" s="158">
        <v>0</v>
      </c>
      <c r="AC12" s="159">
        <v>0</v>
      </c>
      <c r="AD12" s="110"/>
      <c r="AE12" s="111">
        <v>3825.33</v>
      </c>
      <c r="AF12" s="124">
        <f t="shared" si="5"/>
        <v>-1</v>
      </c>
      <c r="AG12" s="254"/>
      <c r="AH12" s="152">
        <v>0</v>
      </c>
      <c r="AI12" s="153">
        <v>0</v>
      </c>
      <c r="AJ12" s="116"/>
      <c r="AK12" s="117">
        <v>1807.3</v>
      </c>
      <c r="AL12" s="127">
        <f t="shared" si="6"/>
        <v>-1</v>
      </c>
      <c r="AM12" s="257"/>
      <c r="AN12" s="146">
        <v>0</v>
      </c>
      <c r="AO12" s="147">
        <v>0</v>
      </c>
      <c r="AP12" s="134"/>
      <c r="AQ12" s="135">
        <v>1.0427999999999999</v>
      </c>
      <c r="AR12" s="130">
        <f t="shared" si="7"/>
        <v>-1</v>
      </c>
      <c r="AT12" s="174" t="s">
        <v>10</v>
      </c>
      <c r="AU12" s="178">
        <f>(AU11-AU10)/AU10</f>
        <v>97.283360825833412</v>
      </c>
      <c r="AV12" s="183">
        <f t="shared" ref="AV12:AX12" si="8">(AV11-AV10)/AV10</f>
        <v>-0.40042509677890581</v>
      </c>
      <c r="AW12" s="188">
        <f t="shared" si="8"/>
        <v>-0.42147860279029248</v>
      </c>
      <c r="AX12" s="193">
        <f t="shared" si="8"/>
        <v>-2.0177081559679937E-2</v>
      </c>
    </row>
    <row r="13" spans="1:50" x14ac:dyDescent="0.35">
      <c r="A13" s="228"/>
      <c r="B13" s="141" t="s">
        <v>65</v>
      </c>
      <c r="C13" s="216"/>
      <c r="D13" s="104"/>
      <c r="E13" s="105">
        <v>19311.900000000001</v>
      </c>
      <c r="F13" s="121">
        <f t="shared" si="0"/>
        <v>-1</v>
      </c>
      <c r="G13" s="219"/>
      <c r="H13" s="110"/>
      <c r="I13" s="111">
        <v>3585.62</v>
      </c>
      <c r="J13" s="124">
        <f t="shared" si="1"/>
        <v>-1</v>
      </c>
      <c r="K13" s="222"/>
      <c r="L13" s="116"/>
      <c r="M13" s="117">
        <v>1663.6</v>
      </c>
      <c r="N13" s="127">
        <f t="shared" si="2"/>
        <v>-1</v>
      </c>
      <c r="O13" s="225"/>
      <c r="P13" s="134"/>
      <c r="Q13" s="135">
        <v>0.97989999999999999</v>
      </c>
      <c r="R13" s="130">
        <f t="shared" si="3"/>
        <v>-1</v>
      </c>
      <c r="S13" s="228"/>
      <c r="T13" s="141" t="s">
        <v>65</v>
      </c>
      <c r="U13" s="248"/>
      <c r="V13" s="164">
        <v>0.12842899999999999</v>
      </c>
      <c r="W13" s="165">
        <v>0</v>
      </c>
      <c r="X13" s="104"/>
      <c r="Y13" s="105">
        <v>19311.900000000001</v>
      </c>
      <c r="Z13" s="121">
        <f t="shared" si="4"/>
        <v>-1</v>
      </c>
      <c r="AA13" s="251"/>
      <c r="AB13" s="158">
        <v>0</v>
      </c>
      <c r="AC13" s="159">
        <v>0</v>
      </c>
      <c r="AD13" s="110"/>
      <c r="AE13" s="111">
        <v>3585.62</v>
      </c>
      <c r="AF13" s="124">
        <f t="shared" si="5"/>
        <v>-1</v>
      </c>
      <c r="AG13" s="254"/>
      <c r="AH13" s="152">
        <v>0</v>
      </c>
      <c r="AI13" s="153">
        <v>0</v>
      </c>
      <c r="AJ13" s="116"/>
      <c r="AK13" s="117">
        <v>1663.6</v>
      </c>
      <c r="AL13" s="127">
        <f t="shared" si="6"/>
        <v>-1</v>
      </c>
      <c r="AM13" s="257"/>
      <c r="AN13" s="146">
        <v>0</v>
      </c>
      <c r="AO13" s="147">
        <v>0</v>
      </c>
      <c r="AP13" s="134"/>
      <c r="AQ13" s="135">
        <v>0.97989999999999999</v>
      </c>
      <c r="AR13" s="130">
        <f t="shared" si="7"/>
        <v>-1</v>
      </c>
      <c r="AT13" s="171" t="s">
        <v>53</v>
      </c>
      <c r="AU13" s="203" t="s">
        <v>83</v>
      </c>
      <c r="AV13" s="197" t="s">
        <v>84</v>
      </c>
      <c r="AW13" s="198" t="s">
        <v>84</v>
      </c>
      <c r="AX13" s="199" t="s">
        <v>84</v>
      </c>
    </row>
    <row r="14" spans="1:50" ht="15" thickBot="1" x14ac:dyDescent="0.4">
      <c r="A14" s="230"/>
      <c r="B14" s="141" t="s">
        <v>66</v>
      </c>
      <c r="C14" s="217"/>
      <c r="D14" s="106"/>
      <c r="E14" s="107">
        <v>16618.400000000001</v>
      </c>
      <c r="F14" s="122">
        <f t="shared" si="0"/>
        <v>-1</v>
      </c>
      <c r="G14" s="220"/>
      <c r="H14" s="112"/>
      <c r="I14" s="113">
        <v>3839.5</v>
      </c>
      <c r="J14" s="125">
        <f t="shared" si="1"/>
        <v>-1</v>
      </c>
      <c r="K14" s="223"/>
      <c r="L14" s="118"/>
      <c r="M14" s="119">
        <v>1826</v>
      </c>
      <c r="N14" s="128">
        <f t="shared" si="2"/>
        <v>-1</v>
      </c>
      <c r="O14" s="226"/>
      <c r="P14" s="136"/>
      <c r="Q14" s="137">
        <v>1.0702</v>
      </c>
      <c r="R14" s="131">
        <f t="shared" si="3"/>
        <v>-1</v>
      </c>
      <c r="S14" s="230"/>
      <c r="T14" s="141" t="s">
        <v>66</v>
      </c>
      <c r="U14" s="249"/>
      <c r="V14" s="166">
        <v>3.114E-3</v>
      </c>
      <c r="W14" s="167">
        <v>4.1460000000000004E-3</v>
      </c>
      <c r="X14" s="106"/>
      <c r="Y14" s="107">
        <v>16618.400000000001</v>
      </c>
      <c r="Z14" s="122">
        <f t="shared" si="4"/>
        <v>-1</v>
      </c>
      <c r="AA14" s="252"/>
      <c r="AB14" s="160">
        <v>1.4799999999999999E-4</v>
      </c>
      <c r="AC14" s="161">
        <v>1.0399999999999999E-4</v>
      </c>
      <c r="AD14" s="112"/>
      <c r="AE14" s="113">
        <v>3839.5</v>
      </c>
      <c r="AF14" s="125">
        <f t="shared" si="5"/>
        <v>-1</v>
      </c>
      <c r="AG14" s="255"/>
      <c r="AH14" s="154">
        <v>2.32E-4</v>
      </c>
      <c r="AI14" s="155">
        <v>8.3999999999999995E-5</v>
      </c>
      <c r="AJ14" s="118"/>
      <c r="AK14" s="119">
        <v>1826</v>
      </c>
      <c r="AL14" s="128">
        <f t="shared" si="6"/>
        <v>-1</v>
      </c>
      <c r="AM14" s="258"/>
      <c r="AN14" s="148">
        <v>1.2999999999999999E-5</v>
      </c>
      <c r="AO14" s="149">
        <v>2.5000000000000001E-5</v>
      </c>
      <c r="AP14" s="136"/>
      <c r="AQ14" s="137">
        <v>1.0702</v>
      </c>
      <c r="AR14" s="131">
        <f t="shared" si="7"/>
        <v>-1</v>
      </c>
      <c r="AT14" s="174" t="s">
        <v>101</v>
      </c>
      <c r="AU14" s="179">
        <v>3.2360000000000002E-3</v>
      </c>
      <c r="AV14" s="184">
        <v>1.0900000000000001E-4</v>
      </c>
      <c r="AW14" s="189">
        <v>2.3000000000000001E-4</v>
      </c>
      <c r="AX14" s="194">
        <v>1.2E-5</v>
      </c>
    </row>
    <row r="15" spans="1:50" ht="15" thickBot="1" x14ac:dyDescent="0.4">
      <c r="A15" s="227">
        <v>2023</v>
      </c>
      <c r="B15" s="168" t="s">
        <v>67</v>
      </c>
      <c r="C15" s="215" t="s">
        <v>83</v>
      </c>
      <c r="D15" s="102"/>
      <c r="E15" s="103">
        <v>28456.1</v>
      </c>
      <c r="F15" s="120">
        <f t="shared" si="0"/>
        <v>-1</v>
      </c>
      <c r="G15" s="218" t="s">
        <v>84</v>
      </c>
      <c r="H15" s="108"/>
      <c r="I15" s="109">
        <v>4109.3100000000004</v>
      </c>
      <c r="J15" s="123">
        <f t="shared" si="1"/>
        <v>-1</v>
      </c>
      <c r="K15" s="221" t="s">
        <v>84</v>
      </c>
      <c r="L15" s="114"/>
      <c r="M15" s="115">
        <v>1988.5</v>
      </c>
      <c r="N15" s="126">
        <f t="shared" si="2"/>
        <v>-1</v>
      </c>
      <c r="O15" s="224" t="s">
        <v>84</v>
      </c>
      <c r="P15" s="132"/>
      <c r="Q15" s="133">
        <v>1.0839000000000001</v>
      </c>
      <c r="R15" s="129">
        <f t="shared" si="3"/>
        <v>-1</v>
      </c>
      <c r="S15" s="227">
        <v>2023</v>
      </c>
      <c r="T15" s="168" t="s">
        <v>67</v>
      </c>
      <c r="U15" s="247" t="s">
        <v>83</v>
      </c>
      <c r="V15" s="162">
        <v>0.82177599999999995</v>
      </c>
      <c r="W15" s="163">
        <v>-0.83976200000000001</v>
      </c>
      <c r="X15" s="102"/>
      <c r="Y15" s="103">
        <v>28456.1</v>
      </c>
      <c r="Z15" s="120">
        <f t="shared" si="4"/>
        <v>-1</v>
      </c>
      <c r="AA15" s="250" t="s">
        <v>84</v>
      </c>
      <c r="AB15" s="156">
        <v>-9.8312999999999998E-2</v>
      </c>
      <c r="AC15" s="157">
        <v>0</v>
      </c>
      <c r="AD15" s="108"/>
      <c r="AE15" s="109">
        <v>4109.3100000000004</v>
      </c>
      <c r="AF15" s="123">
        <f t="shared" si="5"/>
        <v>-1</v>
      </c>
      <c r="AG15" s="253" t="s">
        <v>84</v>
      </c>
      <c r="AH15" s="150">
        <v>-1.2661E-2</v>
      </c>
      <c r="AI15" s="151">
        <v>0</v>
      </c>
      <c r="AJ15" s="114"/>
      <c r="AK15" s="115">
        <v>1988.5</v>
      </c>
      <c r="AL15" s="126">
        <f t="shared" si="6"/>
        <v>-1</v>
      </c>
      <c r="AM15" s="256" t="s">
        <v>84</v>
      </c>
      <c r="AN15" s="144">
        <v>-1.2026999999999999E-2</v>
      </c>
      <c r="AO15" s="145">
        <v>0</v>
      </c>
      <c r="AP15" s="132"/>
      <c r="AQ15" s="133">
        <v>1.0839000000000001</v>
      </c>
      <c r="AR15" s="129">
        <f t="shared" si="7"/>
        <v>-1</v>
      </c>
      <c r="AT15" s="176" t="s">
        <v>102</v>
      </c>
      <c r="AU15" s="180">
        <v>4.6369999999999996E-3</v>
      </c>
      <c r="AV15" s="204">
        <v>9.7E-5</v>
      </c>
      <c r="AW15" s="205">
        <v>8.2999999999999998E-5</v>
      </c>
      <c r="AX15" s="206">
        <v>2.5999999999999998E-5</v>
      </c>
    </row>
    <row r="16" spans="1:50" x14ac:dyDescent="0.35">
      <c r="A16" s="228"/>
      <c r="B16" s="141" t="s">
        <v>68</v>
      </c>
      <c r="C16" s="216"/>
      <c r="D16" s="104"/>
      <c r="E16" s="105">
        <v>30586.799999999999</v>
      </c>
      <c r="F16" s="121">
        <f t="shared" si="0"/>
        <v>-1</v>
      </c>
      <c r="G16" s="219"/>
      <c r="H16" s="110"/>
      <c r="I16" s="111">
        <v>4450.38</v>
      </c>
      <c r="J16" s="124">
        <f t="shared" si="1"/>
        <v>-1</v>
      </c>
      <c r="K16" s="222"/>
      <c r="L16" s="116"/>
      <c r="M16" s="117">
        <v>1917.9</v>
      </c>
      <c r="N16" s="127">
        <f t="shared" si="2"/>
        <v>-1</v>
      </c>
      <c r="O16" s="225"/>
      <c r="P16" s="134"/>
      <c r="Q16" s="135">
        <v>1.091</v>
      </c>
      <c r="R16" s="130">
        <f t="shared" si="3"/>
        <v>-1</v>
      </c>
      <c r="S16" s="228"/>
      <c r="T16" s="141" t="s">
        <v>68</v>
      </c>
      <c r="U16" s="248"/>
      <c r="V16" s="164">
        <v>-0.59802200000000005</v>
      </c>
      <c r="W16" s="165">
        <v>0.458592</v>
      </c>
      <c r="X16" s="104"/>
      <c r="Y16" s="105">
        <v>30586.799999999999</v>
      </c>
      <c r="Z16" s="121">
        <f t="shared" si="4"/>
        <v>-1</v>
      </c>
      <c r="AA16" s="251"/>
      <c r="AB16" s="158">
        <v>0</v>
      </c>
      <c r="AC16" s="159">
        <v>0</v>
      </c>
      <c r="AD16" s="110"/>
      <c r="AE16" s="111">
        <v>4450.38</v>
      </c>
      <c r="AF16" s="124">
        <f t="shared" si="5"/>
        <v>-1</v>
      </c>
      <c r="AG16" s="254"/>
      <c r="AH16" s="152">
        <v>0</v>
      </c>
      <c r="AI16" s="153">
        <v>0</v>
      </c>
      <c r="AJ16" s="116"/>
      <c r="AK16" s="117">
        <v>1917.9</v>
      </c>
      <c r="AL16" s="127">
        <f t="shared" si="6"/>
        <v>-1</v>
      </c>
      <c r="AM16" s="257"/>
      <c r="AN16" s="146">
        <v>0</v>
      </c>
      <c r="AO16" s="147">
        <v>0</v>
      </c>
      <c r="AP16" s="134"/>
      <c r="AQ16" s="135">
        <v>1.091</v>
      </c>
      <c r="AR16" s="130">
        <f t="shared" si="7"/>
        <v>-1</v>
      </c>
      <c r="AT16" s="171" t="s">
        <v>103</v>
      </c>
      <c r="AU16" s="196">
        <v>0.83641399999999999</v>
      </c>
      <c r="AV16" s="200">
        <v>-8.0033000000000007E-2</v>
      </c>
      <c r="AW16" s="201">
        <v>-1.4593999999999999E-2</v>
      </c>
      <c r="AX16" s="202">
        <v>-1.6071999999999999E-2</v>
      </c>
    </row>
    <row r="17" spans="1:50" x14ac:dyDescent="0.35">
      <c r="A17" s="228"/>
      <c r="B17" s="141" t="s">
        <v>69</v>
      </c>
      <c r="C17" s="216"/>
      <c r="D17" s="104"/>
      <c r="E17" s="105">
        <v>27974.5</v>
      </c>
      <c r="F17" s="121">
        <f t="shared" si="0"/>
        <v>-1</v>
      </c>
      <c r="G17" s="219"/>
      <c r="H17" s="110"/>
      <c r="I17" s="111">
        <v>4288.05</v>
      </c>
      <c r="J17" s="124">
        <f t="shared" si="1"/>
        <v>-1</v>
      </c>
      <c r="K17" s="222"/>
      <c r="L17" s="116"/>
      <c r="M17" s="117">
        <v>1869.5</v>
      </c>
      <c r="N17" s="127">
        <f t="shared" si="2"/>
        <v>-1</v>
      </c>
      <c r="O17" s="225"/>
      <c r="P17" s="134"/>
      <c r="Q17" s="135">
        <v>1.0569999999999999</v>
      </c>
      <c r="R17" s="130">
        <f t="shared" si="3"/>
        <v>-1</v>
      </c>
      <c r="S17" s="228"/>
      <c r="T17" s="141" t="s">
        <v>69</v>
      </c>
      <c r="U17" s="248"/>
      <c r="V17" s="164">
        <v>0.12447</v>
      </c>
      <c r="W17" s="165">
        <v>0</v>
      </c>
      <c r="X17" s="104"/>
      <c r="Y17" s="105">
        <v>27974.5</v>
      </c>
      <c r="Z17" s="121">
        <f t="shared" si="4"/>
        <v>-1</v>
      </c>
      <c r="AA17" s="251"/>
      <c r="AB17" s="158">
        <v>0</v>
      </c>
      <c r="AC17" s="159">
        <v>0</v>
      </c>
      <c r="AD17" s="110"/>
      <c r="AE17" s="111">
        <v>4288.05</v>
      </c>
      <c r="AF17" s="124">
        <f t="shared" si="5"/>
        <v>-1</v>
      </c>
      <c r="AG17" s="254"/>
      <c r="AH17" s="152">
        <v>0</v>
      </c>
      <c r="AI17" s="153">
        <v>0</v>
      </c>
      <c r="AJ17" s="116"/>
      <c r="AK17" s="117">
        <v>1869.5</v>
      </c>
      <c r="AL17" s="127">
        <f t="shared" si="6"/>
        <v>-1</v>
      </c>
      <c r="AM17" s="257"/>
      <c r="AN17" s="146">
        <v>0</v>
      </c>
      <c r="AO17" s="147">
        <v>0</v>
      </c>
      <c r="AP17" s="134"/>
      <c r="AQ17" s="135">
        <v>1.0569999999999999</v>
      </c>
      <c r="AR17" s="130">
        <f t="shared" si="7"/>
        <v>-1</v>
      </c>
      <c r="AT17" s="174" t="s">
        <v>104</v>
      </c>
      <c r="AU17" s="179">
        <v>-0.58754300000000004</v>
      </c>
      <c r="AV17" s="181" t="s">
        <v>108</v>
      </c>
      <c r="AW17" s="186" t="s">
        <v>108</v>
      </c>
      <c r="AX17" s="191" t="s">
        <v>108</v>
      </c>
    </row>
    <row r="18" spans="1:50" ht="15" thickBot="1" x14ac:dyDescent="0.4">
      <c r="A18" s="230"/>
      <c r="B18" s="141" t="s">
        <v>70</v>
      </c>
      <c r="C18" s="217"/>
      <c r="D18" s="106"/>
      <c r="E18" s="107">
        <v>44183.4</v>
      </c>
      <c r="F18" s="122">
        <f t="shared" si="0"/>
        <v>-1</v>
      </c>
      <c r="G18" s="220"/>
      <c r="H18" s="112"/>
      <c r="I18" s="113">
        <v>4769.83</v>
      </c>
      <c r="J18" s="125">
        <f t="shared" si="1"/>
        <v>-1</v>
      </c>
      <c r="K18" s="223"/>
      <c r="L18" s="118"/>
      <c r="M18" s="119">
        <v>2083.5</v>
      </c>
      <c r="N18" s="128">
        <f t="shared" si="2"/>
        <v>-1</v>
      </c>
      <c r="O18" s="226"/>
      <c r="P18" s="136"/>
      <c r="Q18" s="137">
        <v>1.1044</v>
      </c>
      <c r="R18" s="131">
        <f t="shared" si="3"/>
        <v>-1</v>
      </c>
      <c r="S18" s="230"/>
      <c r="T18" s="141" t="s">
        <v>70</v>
      </c>
      <c r="U18" s="249"/>
      <c r="V18" s="166">
        <v>2.6380000000000002E-3</v>
      </c>
      <c r="W18" s="167">
        <v>3.9119999999999997E-3</v>
      </c>
      <c r="X18" s="106"/>
      <c r="Y18" s="107">
        <v>44183.4</v>
      </c>
      <c r="Z18" s="122">
        <f t="shared" si="4"/>
        <v>-1</v>
      </c>
      <c r="AA18" s="252"/>
      <c r="AB18" s="160">
        <v>1.16E-4</v>
      </c>
      <c r="AC18" s="161">
        <v>1.07E-4</v>
      </c>
      <c r="AD18" s="112"/>
      <c r="AE18" s="113">
        <v>4769.83</v>
      </c>
      <c r="AF18" s="125">
        <f t="shared" si="5"/>
        <v>-1</v>
      </c>
      <c r="AG18" s="255"/>
      <c r="AH18" s="154">
        <v>2.22E-4</v>
      </c>
      <c r="AI18" s="155">
        <v>8.2999999999999998E-5</v>
      </c>
      <c r="AJ18" s="118"/>
      <c r="AK18" s="119">
        <v>2083.5</v>
      </c>
      <c r="AL18" s="128">
        <f t="shared" si="6"/>
        <v>-1</v>
      </c>
      <c r="AM18" s="258"/>
      <c r="AN18" s="148">
        <v>5.0000000000000004E-6</v>
      </c>
      <c r="AO18" s="149">
        <v>2.5000000000000001E-5</v>
      </c>
      <c r="AP18" s="136"/>
      <c r="AQ18" s="137">
        <v>1.1044</v>
      </c>
      <c r="AR18" s="131">
        <f t="shared" si="7"/>
        <v>-1</v>
      </c>
      <c r="AT18" s="176" t="s">
        <v>105</v>
      </c>
      <c r="AU18" s="180">
        <v>0.14529800000000001</v>
      </c>
      <c r="AV18" s="185" t="s">
        <v>108</v>
      </c>
      <c r="AW18" s="190" t="s">
        <v>108</v>
      </c>
      <c r="AX18" s="195" t="s">
        <v>108</v>
      </c>
    </row>
    <row r="19" spans="1:50" x14ac:dyDescent="0.35">
      <c r="A19" s="227">
        <v>2024</v>
      </c>
      <c r="B19" s="168" t="s">
        <v>71</v>
      </c>
      <c r="C19" s="215" t="s">
        <v>83</v>
      </c>
      <c r="D19" s="102"/>
      <c r="E19" s="103">
        <v>69664.399999999994</v>
      </c>
      <c r="F19" s="120">
        <f t="shared" si="0"/>
        <v>-1</v>
      </c>
      <c r="G19" s="218" t="s">
        <v>84</v>
      </c>
      <c r="H19" s="108"/>
      <c r="I19" s="109">
        <v>5243.77</v>
      </c>
      <c r="J19" s="123">
        <f t="shared" si="1"/>
        <v>-1</v>
      </c>
      <c r="K19" s="221" t="s">
        <v>84</v>
      </c>
      <c r="L19" s="114"/>
      <c r="M19" s="115">
        <v>2245.9</v>
      </c>
      <c r="N19" s="126">
        <f t="shared" si="2"/>
        <v>-1</v>
      </c>
      <c r="O19" s="224" t="s">
        <v>84</v>
      </c>
      <c r="P19" s="132"/>
      <c r="Q19" s="133">
        <v>1.0743</v>
      </c>
      <c r="R19" s="129">
        <f t="shared" si="3"/>
        <v>-1</v>
      </c>
      <c r="S19" s="227">
        <v>2024</v>
      </c>
      <c r="T19" s="168" t="s">
        <v>71</v>
      </c>
      <c r="U19" s="247" t="s">
        <v>83</v>
      </c>
      <c r="V19" s="162">
        <v>0.82544499999999998</v>
      </c>
      <c r="W19" s="163">
        <v>-0.84302100000000002</v>
      </c>
      <c r="X19" s="102"/>
      <c r="Y19" s="103">
        <v>69664.399999999994</v>
      </c>
      <c r="Z19" s="120">
        <f t="shared" si="4"/>
        <v>-1</v>
      </c>
      <c r="AA19" s="250" t="s">
        <v>84</v>
      </c>
      <c r="AB19" s="156">
        <v>-9.6131999999999995E-2</v>
      </c>
      <c r="AC19" s="157">
        <v>0</v>
      </c>
      <c r="AD19" s="108"/>
      <c r="AE19" s="109">
        <v>5243.77</v>
      </c>
      <c r="AF19" s="123">
        <f t="shared" si="5"/>
        <v>-1</v>
      </c>
      <c r="AG19" s="253" t="s">
        <v>84</v>
      </c>
      <c r="AH19" s="150">
        <v>-1.4022E-2</v>
      </c>
      <c r="AI19" s="151">
        <v>0</v>
      </c>
      <c r="AJ19" s="114"/>
      <c r="AK19" s="115">
        <v>2245.9</v>
      </c>
      <c r="AL19" s="126">
        <f t="shared" si="6"/>
        <v>-1</v>
      </c>
      <c r="AM19" s="256" t="s">
        <v>84</v>
      </c>
      <c r="AN19" s="144">
        <v>-1.3049E-2</v>
      </c>
      <c r="AO19" s="145">
        <v>0</v>
      </c>
      <c r="AP19" s="132"/>
      <c r="AQ19" s="133">
        <v>1.0743</v>
      </c>
      <c r="AR19" s="129">
        <f t="shared" si="7"/>
        <v>-1</v>
      </c>
      <c r="AT19" s="171" t="s">
        <v>106</v>
      </c>
      <c r="AU19" s="196">
        <v>-0.84614500000000004</v>
      </c>
      <c r="AV19" s="197" t="s">
        <v>108</v>
      </c>
      <c r="AW19" s="198" t="s">
        <v>108</v>
      </c>
      <c r="AX19" s="199" t="s">
        <v>108</v>
      </c>
    </row>
    <row r="20" spans="1:50" ht="15" thickBot="1" x14ac:dyDescent="0.4">
      <c r="A20" s="228"/>
      <c r="B20" s="141" t="s">
        <v>72</v>
      </c>
      <c r="C20" s="216"/>
      <c r="D20" s="104"/>
      <c r="E20" s="105">
        <v>62890.1</v>
      </c>
      <c r="F20" s="121">
        <f t="shared" si="0"/>
        <v>-1</v>
      </c>
      <c r="G20" s="219"/>
      <c r="H20" s="110"/>
      <c r="I20" s="111">
        <v>5475.09</v>
      </c>
      <c r="J20" s="124">
        <f t="shared" si="1"/>
        <v>-1</v>
      </c>
      <c r="K20" s="222"/>
      <c r="L20" s="116"/>
      <c r="M20" s="117">
        <v>2338.9</v>
      </c>
      <c r="N20" s="127">
        <f t="shared" si="2"/>
        <v>-1</v>
      </c>
      <c r="O20" s="225"/>
      <c r="P20" s="134"/>
      <c r="Q20" s="135">
        <v>1.0738000000000001</v>
      </c>
      <c r="R20" s="130">
        <f t="shared" si="3"/>
        <v>-1</v>
      </c>
      <c r="S20" s="228"/>
      <c r="T20" s="141" t="s">
        <v>72</v>
      </c>
      <c r="U20" s="248"/>
      <c r="V20" s="164">
        <v>-0.59780100000000003</v>
      </c>
      <c r="W20" s="165">
        <v>0.46024100000000001</v>
      </c>
      <c r="X20" s="104"/>
      <c r="Y20" s="105">
        <v>62890.1</v>
      </c>
      <c r="Z20" s="121">
        <f t="shared" si="4"/>
        <v>-1</v>
      </c>
      <c r="AA20" s="251"/>
      <c r="AB20" s="158">
        <v>0</v>
      </c>
      <c r="AC20" s="159">
        <v>0</v>
      </c>
      <c r="AD20" s="110"/>
      <c r="AE20" s="111">
        <v>5475.09</v>
      </c>
      <c r="AF20" s="124">
        <f t="shared" si="5"/>
        <v>-1</v>
      </c>
      <c r="AG20" s="254"/>
      <c r="AH20" s="152">
        <v>0</v>
      </c>
      <c r="AI20" s="153">
        <v>0</v>
      </c>
      <c r="AJ20" s="116"/>
      <c r="AK20" s="117">
        <v>2338.9</v>
      </c>
      <c r="AL20" s="127">
        <f t="shared" si="6"/>
        <v>-1</v>
      </c>
      <c r="AM20" s="257"/>
      <c r="AN20" s="146">
        <v>0</v>
      </c>
      <c r="AO20" s="147">
        <v>0</v>
      </c>
      <c r="AP20" s="134"/>
      <c r="AQ20" s="135">
        <v>1.0738000000000001</v>
      </c>
      <c r="AR20" s="130">
        <f t="shared" si="7"/>
        <v>-1</v>
      </c>
      <c r="AT20" s="176" t="s">
        <v>107</v>
      </c>
      <c r="AU20" s="180">
        <v>0.42247299999999999</v>
      </c>
      <c r="AV20" s="185" t="s">
        <v>108</v>
      </c>
      <c r="AW20" s="190" t="s">
        <v>108</v>
      </c>
      <c r="AX20" s="195" t="s">
        <v>108</v>
      </c>
    </row>
    <row r="21" spans="1:50" x14ac:dyDescent="0.35">
      <c r="A21" s="228"/>
      <c r="B21" s="141" t="s">
        <v>73</v>
      </c>
      <c r="C21" s="216"/>
      <c r="D21" s="104"/>
      <c r="E21" s="105">
        <v>60835.5</v>
      </c>
      <c r="F21" s="121">
        <f t="shared" si="0"/>
        <v>-1</v>
      </c>
      <c r="G21" s="219"/>
      <c r="H21" s="110"/>
      <c r="I21" s="111">
        <v>5708.75</v>
      </c>
      <c r="J21" s="124">
        <f t="shared" si="1"/>
        <v>-1</v>
      </c>
      <c r="K21" s="222"/>
      <c r="L21" s="116"/>
      <c r="M21" s="117">
        <v>2678.5</v>
      </c>
      <c r="N21" s="127">
        <f t="shared" si="2"/>
        <v>-1</v>
      </c>
      <c r="O21" s="225"/>
      <c r="P21" s="134"/>
      <c r="Q21" s="135">
        <v>1.1067</v>
      </c>
      <c r="R21" s="130">
        <f t="shared" si="3"/>
        <v>-1</v>
      </c>
      <c r="S21" s="228"/>
      <c r="T21" s="141" t="s">
        <v>73</v>
      </c>
      <c r="U21" s="248"/>
      <c r="V21" s="164">
        <v>0.123961</v>
      </c>
      <c r="W21" s="165">
        <v>0</v>
      </c>
      <c r="X21" s="104"/>
      <c r="Y21" s="105">
        <v>60835.5</v>
      </c>
      <c r="Z21" s="121">
        <f t="shared" si="4"/>
        <v>-1</v>
      </c>
      <c r="AA21" s="251"/>
      <c r="AB21" s="158">
        <v>0</v>
      </c>
      <c r="AC21" s="159">
        <v>0</v>
      </c>
      <c r="AD21" s="110"/>
      <c r="AE21" s="111">
        <v>5708.75</v>
      </c>
      <c r="AF21" s="124">
        <f t="shared" si="5"/>
        <v>-1</v>
      </c>
      <c r="AG21" s="254"/>
      <c r="AH21" s="152">
        <v>0</v>
      </c>
      <c r="AI21" s="153">
        <v>0</v>
      </c>
      <c r="AJ21" s="116"/>
      <c r="AK21" s="117">
        <v>2678.5</v>
      </c>
      <c r="AL21" s="127">
        <f t="shared" si="6"/>
        <v>-1</v>
      </c>
      <c r="AM21" s="257"/>
      <c r="AN21" s="146">
        <v>0</v>
      </c>
      <c r="AO21" s="147">
        <v>0</v>
      </c>
      <c r="AP21" s="134"/>
      <c r="AQ21" s="135">
        <v>1.1067</v>
      </c>
      <c r="AR21" s="130">
        <f t="shared" si="7"/>
        <v>-1</v>
      </c>
    </row>
    <row r="22" spans="1:50" ht="15" thickBot="1" x14ac:dyDescent="0.4">
      <c r="A22" s="230"/>
      <c r="B22" s="169" t="s">
        <v>74</v>
      </c>
      <c r="C22" s="217"/>
      <c r="D22" s="106"/>
      <c r="E22" s="107">
        <v>94560.2</v>
      </c>
      <c r="F22" s="122">
        <f t="shared" si="0"/>
        <v>-1</v>
      </c>
      <c r="G22" s="220"/>
      <c r="H22" s="112"/>
      <c r="I22" s="113">
        <v>5881.63</v>
      </c>
      <c r="J22" s="125">
        <f t="shared" si="1"/>
        <v>-1</v>
      </c>
      <c r="K22" s="223"/>
      <c r="L22" s="118"/>
      <c r="M22" s="119">
        <v>2618.1</v>
      </c>
      <c r="N22" s="128">
        <f t="shared" si="2"/>
        <v>-1</v>
      </c>
      <c r="O22" s="226"/>
      <c r="P22" s="136"/>
      <c r="Q22" s="137">
        <v>1.0355000000000001</v>
      </c>
      <c r="R22" s="131">
        <f t="shared" si="3"/>
        <v>-1</v>
      </c>
      <c r="S22" s="230"/>
      <c r="T22" s="169" t="s">
        <v>74</v>
      </c>
      <c r="U22" s="249"/>
      <c r="V22" s="166">
        <v>2.6319999999999998E-3</v>
      </c>
      <c r="W22" s="167">
        <v>3.6619999999999999E-3</v>
      </c>
      <c r="X22" s="106"/>
      <c r="Y22" s="107">
        <v>94560.2</v>
      </c>
      <c r="Z22" s="122">
        <f t="shared" si="4"/>
        <v>-1</v>
      </c>
      <c r="AA22" s="252"/>
      <c r="AB22" s="160">
        <v>1.35E-4</v>
      </c>
      <c r="AC22" s="161">
        <v>1.0399999999999999E-4</v>
      </c>
      <c r="AD22" s="112"/>
      <c r="AE22" s="113">
        <v>5881.63</v>
      </c>
      <c r="AF22" s="125">
        <f t="shared" si="5"/>
        <v>-1</v>
      </c>
      <c r="AG22" s="255"/>
      <c r="AH22" s="154">
        <v>2.2800000000000001E-4</v>
      </c>
      <c r="AI22" s="155">
        <v>8.2000000000000001E-5</v>
      </c>
      <c r="AJ22" s="118"/>
      <c r="AK22" s="119">
        <v>2618.1</v>
      </c>
      <c r="AL22" s="128">
        <f t="shared" si="6"/>
        <v>-1</v>
      </c>
      <c r="AM22" s="258"/>
      <c r="AN22" s="148">
        <v>7.9999999999999996E-6</v>
      </c>
      <c r="AO22" s="149">
        <v>2.5000000000000001E-5</v>
      </c>
      <c r="AP22" s="136"/>
      <c r="AQ22" s="137">
        <v>1.0355000000000001</v>
      </c>
      <c r="AR22" s="131">
        <f t="shared" si="7"/>
        <v>-1</v>
      </c>
    </row>
    <row r="23" spans="1:50" x14ac:dyDescent="0.35">
      <c r="A23" s="227">
        <v>2025</v>
      </c>
      <c r="B23" s="168" t="s">
        <v>75</v>
      </c>
      <c r="C23" s="215" t="s">
        <v>83</v>
      </c>
      <c r="D23" s="102"/>
      <c r="E23" s="103">
        <v>85164.2</v>
      </c>
      <c r="F23" s="120">
        <f t="shared" si="0"/>
        <v>-1</v>
      </c>
      <c r="G23" s="218" t="s">
        <v>84</v>
      </c>
      <c r="H23" s="108"/>
      <c r="I23" s="109">
        <v>5633.07</v>
      </c>
      <c r="J23" s="123">
        <f t="shared" si="1"/>
        <v>-1</v>
      </c>
      <c r="K23" s="221" t="s">
        <v>84</v>
      </c>
      <c r="L23" s="114"/>
      <c r="M23" s="115">
        <v>3146</v>
      </c>
      <c r="N23" s="126">
        <f t="shared" si="2"/>
        <v>-1</v>
      </c>
      <c r="O23" s="224" t="s">
        <v>84</v>
      </c>
      <c r="P23" s="132"/>
      <c r="Q23" s="133">
        <v>1.0792999999999999</v>
      </c>
      <c r="R23" s="129">
        <f t="shared" si="3"/>
        <v>-1</v>
      </c>
      <c r="S23" s="227">
        <v>2025</v>
      </c>
      <c r="T23" s="168" t="s">
        <v>75</v>
      </c>
      <c r="U23" s="247" t="s">
        <v>83</v>
      </c>
      <c r="V23" s="162">
        <v>0.82016599999999995</v>
      </c>
      <c r="W23" s="163">
        <v>-0.83801899999999996</v>
      </c>
      <c r="X23" s="102"/>
      <c r="Y23" s="103">
        <v>85164.2</v>
      </c>
      <c r="Z23" s="120">
        <f t="shared" si="4"/>
        <v>-1</v>
      </c>
      <c r="AA23" s="250" t="s">
        <v>84</v>
      </c>
      <c r="AB23" s="156">
        <v>-9.4159999999999994E-2</v>
      </c>
      <c r="AC23" s="157">
        <v>0</v>
      </c>
      <c r="AD23" s="108"/>
      <c r="AE23" s="109">
        <v>5633.07</v>
      </c>
      <c r="AF23" s="123">
        <f t="shared" si="5"/>
        <v>-1</v>
      </c>
      <c r="AG23" s="253" t="s">
        <v>84</v>
      </c>
      <c r="AH23" s="150">
        <v>-1.3096999999999999E-2</v>
      </c>
      <c r="AI23" s="151">
        <v>0</v>
      </c>
      <c r="AJ23" s="114"/>
      <c r="AK23" s="115">
        <v>3146</v>
      </c>
      <c r="AL23" s="126">
        <f t="shared" si="6"/>
        <v>-1</v>
      </c>
      <c r="AM23" s="256" t="s">
        <v>84</v>
      </c>
      <c r="AN23" s="144">
        <v>-1.44834E-2</v>
      </c>
      <c r="AO23" s="145">
        <v>0</v>
      </c>
      <c r="AP23" s="132"/>
      <c r="AQ23" s="133">
        <v>1.0792999999999999</v>
      </c>
      <c r="AR23" s="129">
        <f t="shared" si="7"/>
        <v>-1</v>
      </c>
      <c r="AT23" s="171" t="s">
        <v>100</v>
      </c>
      <c r="AU23" s="172" t="s">
        <v>35</v>
      </c>
      <c r="AV23" s="172" t="s">
        <v>36</v>
      </c>
      <c r="AW23" s="172" t="s">
        <v>38</v>
      </c>
      <c r="AX23" s="173" t="s">
        <v>39</v>
      </c>
    </row>
    <row r="24" spans="1:50" x14ac:dyDescent="0.35">
      <c r="A24" s="228"/>
      <c r="B24" s="141" t="s">
        <v>76</v>
      </c>
      <c r="C24" s="216"/>
      <c r="D24" s="104"/>
      <c r="E24" s="105">
        <v>105694.3</v>
      </c>
      <c r="F24" s="121">
        <f t="shared" si="0"/>
        <v>-1</v>
      </c>
      <c r="G24" s="219"/>
      <c r="H24" s="110"/>
      <c r="I24" s="111">
        <v>6198.01</v>
      </c>
      <c r="J24" s="124">
        <f t="shared" si="1"/>
        <v>-1</v>
      </c>
      <c r="K24" s="222"/>
      <c r="L24" s="116"/>
      <c r="M24" s="117">
        <v>3349.8</v>
      </c>
      <c r="N24" s="127">
        <f t="shared" si="2"/>
        <v>-1</v>
      </c>
      <c r="O24" s="225"/>
      <c r="P24" s="134"/>
      <c r="Q24" s="135">
        <v>1.1807000000000001</v>
      </c>
      <c r="R24" s="130">
        <f t="shared" si="3"/>
        <v>-1</v>
      </c>
      <c r="S24" s="228"/>
      <c r="T24" s="141" t="s">
        <v>76</v>
      </c>
      <c r="U24" s="248"/>
      <c r="V24" s="164">
        <v>-0.59844699999999995</v>
      </c>
      <c r="W24" s="165">
        <v>0.46361999999999998</v>
      </c>
      <c r="X24" s="104"/>
      <c r="Y24" s="105">
        <v>105694.3</v>
      </c>
      <c r="Z24" s="121">
        <f t="shared" si="4"/>
        <v>-1</v>
      </c>
      <c r="AA24" s="251"/>
      <c r="AB24" s="158">
        <v>0</v>
      </c>
      <c r="AC24" s="159">
        <v>0</v>
      </c>
      <c r="AD24" s="110"/>
      <c r="AE24" s="111">
        <v>6198.01</v>
      </c>
      <c r="AF24" s="124">
        <f t="shared" si="5"/>
        <v>-1</v>
      </c>
      <c r="AG24" s="254"/>
      <c r="AH24" s="152">
        <v>0</v>
      </c>
      <c r="AI24" s="153">
        <v>0</v>
      </c>
      <c r="AJ24" s="116"/>
      <c r="AK24" s="117">
        <v>3349.8</v>
      </c>
      <c r="AL24" s="127">
        <f t="shared" si="6"/>
        <v>-1</v>
      </c>
      <c r="AM24" s="257"/>
      <c r="AN24" s="146">
        <v>0</v>
      </c>
      <c r="AO24" s="147">
        <v>0</v>
      </c>
      <c r="AP24" s="134"/>
      <c r="AQ24" s="135">
        <v>1.1807000000000001</v>
      </c>
      <c r="AR24" s="130">
        <f t="shared" si="7"/>
        <v>-1</v>
      </c>
      <c r="AT24" s="174" t="s">
        <v>45</v>
      </c>
      <c r="AU24" s="170">
        <f>F31</f>
        <v>1</v>
      </c>
      <c r="AV24" s="170">
        <f>J31</f>
        <v>1</v>
      </c>
      <c r="AW24" s="170">
        <f>N31</f>
        <v>1</v>
      </c>
      <c r="AX24" s="175">
        <f>R31</f>
        <v>1</v>
      </c>
    </row>
    <row r="25" spans="1:50" ht="15" thickBot="1" x14ac:dyDescent="0.4">
      <c r="A25" s="228"/>
      <c r="B25" s="141" t="s">
        <v>77</v>
      </c>
      <c r="C25" s="216"/>
      <c r="D25" s="104"/>
      <c r="E25" s="105">
        <v>118576.2</v>
      </c>
      <c r="F25" s="121">
        <f t="shared" si="0"/>
        <v>-1</v>
      </c>
      <c r="G25" s="219"/>
      <c r="H25" s="110"/>
      <c r="I25" s="111">
        <v>6711.2</v>
      </c>
      <c r="J25" s="124">
        <f t="shared" si="1"/>
        <v>-1</v>
      </c>
      <c r="K25" s="222"/>
      <c r="L25" s="116"/>
      <c r="M25" s="117">
        <v>3897.5</v>
      </c>
      <c r="N25" s="127">
        <f t="shared" si="2"/>
        <v>-1</v>
      </c>
      <c r="O25" s="225"/>
      <c r="P25" s="134"/>
      <c r="Q25" s="135">
        <v>1.173</v>
      </c>
      <c r="R25" s="130">
        <f t="shared" si="3"/>
        <v>-1</v>
      </c>
      <c r="S25" s="228"/>
      <c r="T25" s="141" t="s">
        <v>77</v>
      </c>
      <c r="U25" s="248"/>
      <c r="V25" s="164">
        <v>0.120382</v>
      </c>
      <c r="W25" s="165">
        <v>0</v>
      </c>
      <c r="X25" s="104"/>
      <c r="Y25" s="105">
        <v>118576.2</v>
      </c>
      <c r="Z25" s="121">
        <f t="shared" si="4"/>
        <v>-1</v>
      </c>
      <c r="AA25" s="251"/>
      <c r="AB25" s="158">
        <v>0</v>
      </c>
      <c r="AC25" s="159">
        <v>0</v>
      </c>
      <c r="AD25" s="110"/>
      <c r="AE25" s="111">
        <v>6711.2</v>
      </c>
      <c r="AF25" s="124">
        <f t="shared" si="5"/>
        <v>-1</v>
      </c>
      <c r="AG25" s="254"/>
      <c r="AH25" s="152">
        <v>0</v>
      </c>
      <c r="AI25" s="153">
        <v>0</v>
      </c>
      <c r="AJ25" s="116"/>
      <c r="AK25" s="117">
        <v>3897.5</v>
      </c>
      <c r="AL25" s="127">
        <f t="shared" si="6"/>
        <v>-1</v>
      </c>
      <c r="AM25" s="257"/>
      <c r="AN25" s="146">
        <v>0</v>
      </c>
      <c r="AO25" s="147">
        <v>0</v>
      </c>
      <c r="AP25" s="134"/>
      <c r="AQ25" s="135">
        <v>1.173</v>
      </c>
      <c r="AR25" s="130">
        <f t="shared" si="7"/>
        <v>-1</v>
      </c>
      <c r="AT25" s="176" t="s">
        <v>44</v>
      </c>
      <c r="AU25" s="213">
        <f>Z31</f>
        <v>1</v>
      </c>
      <c r="AV25" s="213">
        <f>AF31</f>
        <v>1</v>
      </c>
      <c r="AW25" s="213">
        <f>AL31</f>
        <v>1</v>
      </c>
      <c r="AX25" s="214">
        <f>AR31</f>
        <v>1</v>
      </c>
    </row>
    <row r="26" spans="1:50" ht="15" thickBot="1" x14ac:dyDescent="0.4">
      <c r="A26" s="230"/>
      <c r="B26" s="141" t="s">
        <v>78</v>
      </c>
      <c r="C26" s="217"/>
      <c r="D26" s="106"/>
      <c r="E26" s="107">
        <v>88812.1</v>
      </c>
      <c r="F26" s="122">
        <f t="shared" si="0"/>
        <v>-1</v>
      </c>
      <c r="G26" s="220"/>
      <c r="H26" s="112"/>
      <c r="I26" s="113">
        <v>6845.5</v>
      </c>
      <c r="J26" s="125">
        <f t="shared" si="1"/>
        <v>-1</v>
      </c>
      <c r="K26" s="223"/>
      <c r="L26" s="118"/>
      <c r="M26" s="119">
        <v>4361.55</v>
      </c>
      <c r="N26" s="128">
        <f t="shared" si="2"/>
        <v>-1</v>
      </c>
      <c r="O26" s="226"/>
      <c r="P26" s="136"/>
      <c r="Q26" s="137">
        <v>1.1746000000000001</v>
      </c>
      <c r="R26" s="131">
        <f t="shared" si="3"/>
        <v>-1</v>
      </c>
      <c r="S26" s="230"/>
      <c r="T26" s="141" t="s">
        <v>78</v>
      </c>
      <c r="U26" s="249"/>
      <c r="V26" s="166">
        <v>2.6029999999999998E-3</v>
      </c>
      <c r="W26" s="167">
        <v>3.4629999999999999E-3</v>
      </c>
      <c r="X26" s="106"/>
      <c r="Y26" s="107">
        <v>88812.1</v>
      </c>
      <c r="Z26" s="122">
        <f t="shared" si="4"/>
        <v>-1</v>
      </c>
      <c r="AA26" s="252"/>
      <c r="AB26" s="160">
        <v>1.5300000000000001E-4</v>
      </c>
      <c r="AC26" s="161">
        <v>1.02E-4</v>
      </c>
      <c r="AD26" s="112"/>
      <c r="AE26" s="113">
        <v>6845.5</v>
      </c>
      <c r="AF26" s="125">
        <f t="shared" si="5"/>
        <v>-1</v>
      </c>
      <c r="AG26" s="255"/>
      <c r="AH26" s="154">
        <v>2.43E-4</v>
      </c>
      <c r="AI26" s="155">
        <v>8.1000000000000004E-5</v>
      </c>
      <c r="AJ26" s="118"/>
      <c r="AK26" s="119">
        <v>4361.55</v>
      </c>
      <c r="AL26" s="128">
        <f t="shared" si="6"/>
        <v>-1</v>
      </c>
      <c r="AM26" s="258"/>
      <c r="AN26" s="148">
        <v>8.9400000000000004E-7</v>
      </c>
      <c r="AO26" s="149">
        <v>2.429E-5</v>
      </c>
      <c r="AP26" s="136"/>
      <c r="AQ26" s="137">
        <v>1.1746000000000001</v>
      </c>
      <c r="AR26" s="131">
        <f t="shared" si="7"/>
        <v>-1</v>
      </c>
    </row>
    <row r="27" spans="1:50" x14ac:dyDescent="0.35">
      <c r="A27" s="227">
        <v>2026</v>
      </c>
      <c r="B27" s="168" t="s">
        <v>79</v>
      </c>
      <c r="C27" s="215"/>
      <c r="D27" s="102"/>
      <c r="E27" s="103"/>
      <c r="F27" s="120" t="e">
        <f t="shared" si="0"/>
        <v>#DIV/0!</v>
      </c>
      <c r="G27" s="218"/>
      <c r="H27" s="108"/>
      <c r="I27" s="109"/>
      <c r="J27" s="123" t="e">
        <f t="shared" si="1"/>
        <v>#DIV/0!</v>
      </c>
      <c r="K27" s="221"/>
      <c r="L27" s="114"/>
      <c r="M27" s="115"/>
      <c r="N27" s="126" t="e">
        <f t="shared" si="2"/>
        <v>#DIV/0!</v>
      </c>
      <c r="O27" s="224"/>
      <c r="P27" s="132"/>
      <c r="Q27" s="133"/>
      <c r="R27" s="129" t="e">
        <f t="shared" si="3"/>
        <v>#DIV/0!</v>
      </c>
      <c r="S27" s="227">
        <v>2026</v>
      </c>
      <c r="T27" s="168" t="s">
        <v>79</v>
      </c>
      <c r="U27" s="247" t="s">
        <v>83</v>
      </c>
      <c r="V27" s="162"/>
      <c r="W27" s="163"/>
      <c r="X27" s="102"/>
      <c r="Y27" s="103"/>
      <c r="Z27" s="120" t="e">
        <f t="shared" si="4"/>
        <v>#DIV/0!</v>
      </c>
      <c r="AA27" s="250" t="s">
        <v>84</v>
      </c>
      <c r="AB27" s="156"/>
      <c r="AC27" s="157"/>
      <c r="AD27" s="108"/>
      <c r="AE27" s="109"/>
      <c r="AF27" s="123" t="e">
        <f t="shared" si="5"/>
        <v>#DIV/0!</v>
      </c>
      <c r="AG27" s="253" t="s">
        <v>84</v>
      </c>
      <c r="AH27" s="150"/>
      <c r="AI27" s="151"/>
      <c r="AJ27" s="114"/>
      <c r="AK27" s="115"/>
      <c r="AL27" s="126" t="e">
        <f t="shared" si="6"/>
        <v>#DIV/0!</v>
      </c>
      <c r="AM27" s="256" t="s">
        <v>84</v>
      </c>
      <c r="AN27" s="144"/>
      <c r="AO27" s="145"/>
      <c r="AP27" s="132"/>
      <c r="AQ27" s="133"/>
      <c r="AR27" s="129" t="e">
        <f t="shared" si="7"/>
        <v>#DIV/0!</v>
      </c>
    </row>
    <row r="28" spans="1:50" x14ac:dyDescent="0.35">
      <c r="A28" s="228"/>
      <c r="B28" s="141" t="s">
        <v>80</v>
      </c>
      <c r="C28" s="216"/>
      <c r="D28" s="104"/>
      <c r="E28" s="105"/>
      <c r="F28" s="121" t="e">
        <f t="shared" si="0"/>
        <v>#DIV/0!</v>
      </c>
      <c r="G28" s="219"/>
      <c r="H28" s="110"/>
      <c r="I28" s="111"/>
      <c r="J28" s="124" t="e">
        <f t="shared" si="1"/>
        <v>#DIV/0!</v>
      </c>
      <c r="K28" s="222"/>
      <c r="L28" s="116"/>
      <c r="M28" s="117"/>
      <c r="N28" s="127" t="e">
        <f t="shared" si="2"/>
        <v>#DIV/0!</v>
      </c>
      <c r="O28" s="225"/>
      <c r="P28" s="134"/>
      <c r="Q28" s="135"/>
      <c r="R28" s="130" t="e">
        <f t="shared" si="3"/>
        <v>#DIV/0!</v>
      </c>
      <c r="S28" s="228"/>
      <c r="T28" s="141" t="s">
        <v>80</v>
      </c>
      <c r="U28" s="248"/>
      <c r="V28" s="164"/>
      <c r="W28" s="165"/>
      <c r="X28" s="104"/>
      <c r="Y28" s="105"/>
      <c r="Z28" s="121" t="e">
        <f t="shared" si="4"/>
        <v>#DIV/0!</v>
      </c>
      <c r="AA28" s="251"/>
      <c r="AB28" s="158"/>
      <c r="AC28" s="159"/>
      <c r="AD28" s="110"/>
      <c r="AE28" s="111"/>
      <c r="AF28" s="124" t="e">
        <f t="shared" si="5"/>
        <v>#DIV/0!</v>
      </c>
      <c r="AG28" s="254"/>
      <c r="AH28" s="152"/>
      <c r="AI28" s="153"/>
      <c r="AJ28" s="116"/>
      <c r="AK28" s="117"/>
      <c r="AL28" s="127" t="e">
        <f t="shared" si="6"/>
        <v>#DIV/0!</v>
      </c>
      <c r="AM28" s="257"/>
      <c r="AN28" s="146"/>
      <c r="AO28" s="147"/>
      <c r="AP28" s="134"/>
      <c r="AQ28" s="135"/>
      <c r="AR28" s="130" t="e">
        <f t="shared" si="7"/>
        <v>#DIV/0!</v>
      </c>
    </row>
    <row r="29" spans="1:50" x14ac:dyDescent="0.35">
      <c r="A29" s="228"/>
      <c r="B29" s="141" t="s">
        <v>81</v>
      </c>
      <c r="C29" s="216"/>
      <c r="D29" s="104"/>
      <c r="E29" s="105"/>
      <c r="F29" s="121" t="e">
        <f t="shared" si="0"/>
        <v>#DIV/0!</v>
      </c>
      <c r="G29" s="219"/>
      <c r="H29" s="110"/>
      <c r="I29" s="111"/>
      <c r="J29" s="124" t="e">
        <f t="shared" si="1"/>
        <v>#DIV/0!</v>
      </c>
      <c r="K29" s="222"/>
      <c r="L29" s="116"/>
      <c r="M29" s="117"/>
      <c r="N29" s="127" t="e">
        <f t="shared" si="2"/>
        <v>#DIV/0!</v>
      </c>
      <c r="O29" s="225"/>
      <c r="P29" s="134"/>
      <c r="Q29" s="135"/>
      <c r="R29" s="130" t="e">
        <f t="shared" si="3"/>
        <v>#DIV/0!</v>
      </c>
      <c r="S29" s="228"/>
      <c r="T29" s="141" t="s">
        <v>81</v>
      </c>
      <c r="U29" s="248"/>
      <c r="V29" s="164"/>
      <c r="W29" s="165"/>
      <c r="X29" s="104"/>
      <c r="Y29" s="105"/>
      <c r="Z29" s="121" t="e">
        <f t="shared" si="4"/>
        <v>#DIV/0!</v>
      </c>
      <c r="AA29" s="251"/>
      <c r="AB29" s="158"/>
      <c r="AC29" s="159"/>
      <c r="AD29" s="110"/>
      <c r="AE29" s="111"/>
      <c r="AF29" s="124" t="e">
        <f t="shared" si="5"/>
        <v>#DIV/0!</v>
      </c>
      <c r="AG29" s="254"/>
      <c r="AH29" s="152"/>
      <c r="AI29" s="153"/>
      <c r="AJ29" s="116"/>
      <c r="AK29" s="117"/>
      <c r="AL29" s="127" t="e">
        <f t="shared" si="6"/>
        <v>#DIV/0!</v>
      </c>
      <c r="AM29" s="257"/>
      <c r="AN29" s="146"/>
      <c r="AO29" s="147"/>
      <c r="AP29" s="134"/>
      <c r="AQ29" s="135"/>
      <c r="AR29" s="130" t="e">
        <f t="shared" si="7"/>
        <v>#DIV/0!</v>
      </c>
    </row>
    <row r="30" spans="1:50" ht="15" thickBot="1" x14ac:dyDescent="0.4">
      <c r="A30" s="229"/>
      <c r="B30" s="143" t="s">
        <v>82</v>
      </c>
      <c r="C30" s="217"/>
      <c r="D30" s="106"/>
      <c r="E30" s="107"/>
      <c r="F30" s="122" t="e">
        <f t="shared" si="0"/>
        <v>#DIV/0!</v>
      </c>
      <c r="G30" s="220"/>
      <c r="H30" s="112"/>
      <c r="I30" s="113"/>
      <c r="J30" s="125" t="e">
        <f t="shared" si="1"/>
        <v>#DIV/0!</v>
      </c>
      <c r="K30" s="223"/>
      <c r="L30" s="118"/>
      <c r="M30" s="119"/>
      <c r="N30" s="128" t="e">
        <f t="shared" si="2"/>
        <v>#DIV/0!</v>
      </c>
      <c r="O30" s="226"/>
      <c r="P30" s="136"/>
      <c r="Q30" s="137"/>
      <c r="R30" s="131" t="e">
        <f t="shared" si="3"/>
        <v>#DIV/0!</v>
      </c>
      <c r="S30" s="229"/>
      <c r="T30" s="143" t="s">
        <v>82</v>
      </c>
      <c r="U30" s="249"/>
      <c r="V30" s="166"/>
      <c r="W30" s="167"/>
      <c r="X30" s="106"/>
      <c r="Y30" s="107"/>
      <c r="Z30" s="122" t="e">
        <f t="shared" si="4"/>
        <v>#DIV/0!</v>
      </c>
      <c r="AA30" s="252"/>
      <c r="AB30" s="160"/>
      <c r="AC30" s="161"/>
      <c r="AD30" s="112"/>
      <c r="AE30" s="113"/>
      <c r="AF30" s="125" t="e">
        <f t="shared" si="5"/>
        <v>#DIV/0!</v>
      </c>
      <c r="AG30" s="255"/>
      <c r="AH30" s="154"/>
      <c r="AI30" s="155"/>
      <c r="AJ30" s="118"/>
      <c r="AK30" s="119"/>
      <c r="AL30" s="128" t="e">
        <f t="shared" si="6"/>
        <v>#DIV/0!</v>
      </c>
      <c r="AM30" s="258"/>
      <c r="AN30" s="148"/>
      <c r="AO30" s="149"/>
      <c r="AP30" s="136"/>
      <c r="AQ30" s="137"/>
      <c r="AR30" s="131" t="e">
        <f t="shared" si="7"/>
        <v>#DIV/0!</v>
      </c>
    </row>
    <row r="31" spans="1:50" x14ac:dyDescent="0.35">
      <c r="E31" s="91" t="s">
        <v>109</v>
      </c>
      <c r="F31" s="212" cm="1">
        <f t="array" ref="F31">AVERAGE(ABS(F3:F26))</f>
        <v>1</v>
      </c>
      <c r="I31" s="91" t="s">
        <v>109</v>
      </c>
      <c r="J31" s="212" cm="1">
        <f t="array" ref="J31">AVERAGE(ABS(J3:J26))</f>
        <v>1</v>
      </c>
      <c r="M31" s="91" t="s">
        <v>109</v>
      </c>
      <c r="N31" s="212" cm="1">
        <f t="array" ref="N31">AVERAGE(ABS(N3:N26))</f>
        <v>1</v>
      </c>
      <c r="Q31" s="91" t="s">
        <v>109</v>
      </c>
      <c r="R31" s="212" cm="1">
        <f t="array" ref="R31">AVERAGE(ABS(R3:R26))</f>
        <v>1</v>
      </c>
      <c r="Y31" s="91" t="s">
        <v>109</v>
      </c>
      <c r="Z31" s="212" cm="1">
        <f t="array" ref="Z31">AVERAGE(ABS(Z3:Z26))</f>
        <v>1</v>
      </c>
      <c r="AE31" s="91" t="s">
        <v>109</v>
      </c>
      <c r="AF31" s="212" cm="1">
        <f t="array" ref="AF31">AVERAGE(ABS(AF3:AF26))</f>
        <v>1</v>
      </c>
      <c r="AK31" s="91" t="s">
        <v>109</v>
      </c>
      <c r="AL31" s="212" cm="1">
        <f t="array" ref="AL31">AVERAGE(ABS(AL3:AL26))</f>
        <v>1</v>
      </c>
      <c r="AQ31" s="91" t="s">
        <v>109</v>
      </c>
      <c r="AR31" s="212" cm="1">
        <f t="array" ref="AR31">AVERAGE(ABS(AR3:AR26))</f>
        <v>1</v>
      </c>
    </row>
    <row r="32" spans="1:50" x14ac:dyDescent="0.35">
      <c r="F32" s="91" t="s">
        <v>110</v>
      </c>
      <c r="J32" s="91" t="s">
        <v>111</v>
      </c>
      <c r="N32" s="91" t="s">
        <v>112</v>
      </c>
      <c r="R32" s="91" t="s">
        <v>113</v>
      </c>
      <c r="Z32" s="91" t="s">
        <v>114</v>
      </c>
      <c r="AF32" s="91" t="s">
        <v>115</v>
      </c>
      <c r="AL32" s="91" t="s">
        <v>116</v>
      </c>
      <c r="AR32" s="91" t="s">
        <v>117</v>
      </c>
    </row>
  </sheetData>
  <mergeCells count="89">
    <mergeCell ref="AU1:AV1"/>
    <mergeCell ref="AT8:AX8"/>
    <mergeCell ref="V2:W2"/>
    <mergeCell ref="AB2:AC2"/>
    <mergeCell ref="AH2:AI2"/>
    <mergeCell ref="AN2:AO2"/>
    <mergeCell ref="AU2:AV2"/>
    <mergeCell ref="C1:F1"/>
    <mergeCell ref="C3:C6"/>
    <mergeCell ref="A3:A6"/>
    <mergeCell ref="A7:A10"/>
    <mergeCell ref="A11:A14"/>
    <mergeCell ref="A2:B2"/>
    <mergeCell ref="A1:B1"/>
    <mergeCell ref="A15:A18"/>
    <mergeCell ref="A19:A22"/>
    <mergeCell ref="A23:A26"/>
    <mergeCell ref="A27:A30"/>
    <mergeCell ref="C7:C10"/>
    <mergeCell ref="C11:C14"/>
    <mergeCell ref="C15:C18"/>
    <mergeCell ref="C19:C22"/>
    <mergeCell ref="C23:C26"/>
    <mergeCell ref="C27:C30"/>
    <mergeCell ref="G1:J1"/>
    <mergeCell ref="K1:N1"/>
    <mergeCell ref="O1:R1"/>
    <mergeCell ref="G27:G30"/>
    <mergeCell ref="G3:G6"/>
    <mergeCell ref="G7:G10"/>
    <mergeCell ref="G11:G14"/>
    <mergeCell ref="G15:G18"/>
    <mergeCell ref="G19:G22"/>
    <mergeCell ref="G23:G26"/>
    <mergeCell ref="K3:K6"/>
    <mergeCell ref="K7:K10"/>
    <mergeCell ref="K11:K14"/>
    <mergeCell ref="K15:K18"/>
    <mergeCell ref="K19:K22"/>
    <mergeCell ref="K23:K26"/>
    <mergeCell ref="S2:T2"/>
    <mergeCell ref="K27:K30"/>
    <mergeCell ref="O27:O30"/>
    <mergeCell ref="O3:O6"/>
    <mergeCell ref="O7:O10"/>
    <mergeCell ref="O11:O14"/>
    <mergeCell ref="O15:O18"/>
    <mergeCell ref="O19:O22"/>
    <mergeCell ref="O23:O26"/>
    <mergeCell ref="S7:S10"/>
    <mergeCell ref="S15:S18"/>
    <mergeCell ref="S23:S26"/>
    <mergeCell ref="S27:S30"/>
    <mergeCell ref="S1:T1"/>
    <mergeCell ref="U1:Z1"/>
    <mergeCell ref="AA1:AF1"/>
    <mergeCell ref="AG1:AL1"/>
    <mergeCell ref="AM1:AR1"/>
    <mergeCell ref="U7:U10"/>
    <mergeCell ref="AA7:AA10"/>
    <mergeCell ref="AG7:AG10"/>
    <mergeCell ref="AM7:AM10"/>
    <mergeCell ref="S3:S6"/>
    <mergeCell ref="U3:U6"/>
    <mergeCell ref="AA3:AA6"/>
    <mergeCell ref="AG3:AG6"/>
    <mergeCell ref="AM3:AM6"/>
    <mergeCell ref="U15:U18"/>
    <mergeCell ref="AA15:AA18"/>
    <mergeCell ref="AG15:AG18"/>
    <mergeCell ref="AM15:AM18"/>
    <mergeCell ref="S11:S14"/>
    <mergeCell ref="U11:U14"/>
    <mergeCell ref="AA11:AA14"/>
    <mergeCell ref="AG11:AG14"/>
    <mergeCell ref="AM11:AM14"/>
    <mergeCell ref="S19:S22"/>
    <mergeCell ref="U19:U22"/>
    <mergeCell ref="AA19:AA22"/>
    <mergeCell ref="AG19:AG22"/>
    <mergeCell ref="AM19:AM22"/>
    <mergeCell ref="U27:U30"/>
    <mergeCell ref="AA27:AA30"/>
    <mergeCell ref="AG27:AG30"/>
    <mergeCell ref="AM27:AM30"/>
    <mergeCell ref="U23:U26"/>
    <mergeCell ref="AA23:AA26"/>
    <mergeCell ref="AG23:AG26"/>
    <mergeCell ref="AM23:AM26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835FA-B078-4BD2-9CF5-8622C05475EF}">
  <sheetPr>
    <tabColor rgb="FFFF0000"/>
  </sheetPr>
  <dimension ref="A1:AJ31"/>
  <sheetViews>
    <sheetView zoomScale="46" workbookViewId="0">
      <selection activeCell="H3" sqref="H3"/>
    </sheetView>
  </sheetViews>
  <sheetFormatPr defaultRowHeight="14.5" x14ac:dyDescent="0.35"/>
  <cols>
    <col min="1" max="1" width="8.81640625" bestFit="1" customWidth="1"/>
    <col min="3" max="3" width="11.08984375" customWidth="1"/>
    <col min="4" max="4" width="8.81640625" bestFit="1" customWidth="1"/>
    <col min="5" max="5" width="10.7265625" customWidth="1"/>
    <col min="6" max="6" width="10.36328125" customWidth="1"/>
    <col min="7" max="7" width="12.81640625" customWidth="1"/>
    <col min="8" max="8" width="8.81640625" bestFit="1" customWidth="1"/>
    <col min="9" max="9" width="8.90625" bestFit="1" customWidth="1"/>
    <col min="10" max="10" width="11.1796875" bestFit="1" customWidth="1"/>
    <col min="11" max="11" width="12.81640625" customWidth="1"/>
    <col min="13" max="13" width="8.90625" bestFit="1" customWidth="1"/>
    <col min="14" max="14" width="11.1796875" bestFit="1" customWidth="1"/>
    <col min="15" max="15" width="12.26953125" customWidth="1"/>
    <col min="17" max="17" width="8.90625" bestFit="1" customWidth="1"/>
    <col min="18" max="18" width="11.1796875" bestFit="1" customWidth="1"/>
    <col min="19" max="19" width="8.90625" bestFit="1" customWidth="1"/>
    <col min="21" max="21" width="11.26953125" customWidth="1"/>
    <col min="23" max="24" width="9.81640625" bestFit="1" customWidth="1"/>
    <col min="25" max="25" width="11.26953125" customWidth="1"/>
    <col min="27" max="27" width="8.81640625" bestFit="1" customWidth="1"/>
    <col min="28" max="28" width="9.81640625" bestFit="1" customWidth="1"/>
    <col min="29" max="29" width="11.81640625" customWidth="1"/>
    <col min="31" max="31" width="8.81640625" bestFit="1" customWidth="1"/>
    <col min="32" max="32" width="9.81640625" bestFit="1" customWidth="1"/>
    <col min="33" max="33" width="11.6328125" customWidth="1"/>
    <col min="35" max="35" width="8.81640625" bestFit="1" customWidth="1"/>
    <col min="36" max="36" width="9.81640625" bestFit="1" customWidth="1"/>
  </cols>
  <sheetData>
    <row r="1" spans="1:36" ht="15" thickBot="1" x14ac:dyDescent="0.4">
      <c r="A1" s="245" t="s">
        <v>85</v>
      </c>
      <c r="B1" s="246"/>
      <c r="C1" s="231" t="s">
        <v>35</v>
      </c>
      <c r="D1" s="232"/>
      <c r="E1" s="232"/>
      <c r="F1" s="233"/>
      <c r="G1" s="234" t="s">
        <v>36</v>
      </c>
      <c r="H1" s="235"/>
      <c r="I1" s="235"/>
      <c r="J1" s="236"/>
      <c r="K1" s="237" t="s">
        <v>38</v>
      </c>
      <c r="L1" s="238"/>
      <c r="M1" s="238"/>
      <c r="N1" s="239"/>
      <c r="O1" s="240" t="s">
        <v>39</v>
      </c>
      <c r="P1" s="241"/>
      <c r="Q1" s="241"/>
      <c r="R1" s="242"/>
      <c r="S1" s="245" t="s">
        <v>86</v>
      </c>
      <c r="T1" s="246"/>
      <c r="U1" s="231" t="s">
        <v>35</v>
      </c>
      <c r="V1" s="232"/>
      <c r="W1" s="232"/>
      <c r="X1" s="233"/>
      <c r="Y1" s="234" t="s">
        <v>36</v>
      </c>
      <c r="Z1" s="235"/>
      <c r="AA1" s="235"/>
      <c r="AB1" s="236"/>
      <c r="AC1" s="237" t="s">
        <v>38</v>
      </c>
      <c r="AD1" s="238"/>
      <c r="AE1" s="238"/>
      <c r="AF1" s="239"/>
      <c r="AG1" s="240" t="s">
        <v>39</v>
      </c>
      <c r="AH1" s="241"/>
      <c r="AI1" s="241"/>
      <c r="AJ1" s="242"/>
    </row>
    <row r="2" spans="1:36" ht="15" thickBot="1" x14ac:dyDescent="0.4">
      <c r="A2" s="243" t="s">
        <v>54</v>
      </c>
      <c r="B2" s="244"/>
      <c r="C2" s="92" t="s">
        <v>87</v>
      </c>
      <c r="D2" s="93" t="s">
        <v>1</v>
      </c>
      <c r="E2" s="94" t="s">
        <v>8</v>
      </c>
      <c r="F2" s="95" t="s">
        <v>10</v>
      </c>
      <c r="G2" s="96" t="s">
        <v>87</v>
      </c>
      <c r="H2" s="97" t="s">
        <v>1</v>
      </c>
      <c r="I2" s="96" t="s">
        <v>8</v>
      </c>
      <c r="J2" s="97" t="s">
        <v>10</v>
      </c>
      <c r="K2" s="98" t="s">
        <v>87</v>
      </c>
      <c r="L2" s="99" t="s">
        <v>1</v>
      </c>
      <c r="M2" s="98" t="s">
        <v>8</v>
      </c>
      <c r="N2" s="99" t="s">
        <v>10</v>
      </c>
      <c r="O2" s="100" t="s">
        <v>87</v>
      </c>
      <c r="P2" s="101" t="s">
        <v>1</v>
      </c>
      <c r="Q2" s="100" t="s">
        <v>8</v>
      </c>
      <c r="R2" s="101" t="s">
        <v>10</v>
      </c>
      <c r="S2" s="243" t="s">
        <v>54</v>
      </c>
      <c r="T2" s="244"/>
      <c r="U2" s="92" t="s">
        <v>87</v>
      </c>
      <c r="V2" s="93" t="s">
        <v>1</v>
      </c>
      <c r="W2" s="94" t="s">
        <v>8</v>
      </c>
      <c r="X2" s="95" t="s">
        <v>10</v>
      </c>
      <c r="Y2" s="96" t="s">
        <v>87</v>
      </c>
      <c r="Z2" s="97" t="s">
        <v>1</v>
      </c>
      <c r="AA2" s="96" t="s">
        <v>8</v>
      </c>
      <c r="AB2" s="97" t="s">
        <v>10</v>
      </c>
      <c r="AC2" s="98" t="s">
        <v>87</v>
      </c>
      <c r="AD2" s="99" t="s">
        <v>1</v>
      </c>
      <c r="AE2" s="98" t="s">
        <v>8</v>
      </c>
      <c r="AF2" s="99" t="s">
        <v>10</v>
      </c>
      <c r="AG2" s="100" t="s">
        <v>87</v>
      </c>
      <c r="AH2" s="101" t="s">
        <v>1</v>
      </c>
      <c r="AI2" s="100" t="s">
        <v>8</v>
      </c>
      <c r="AJ2" s="101" t="s">
        <v>10</v>
      </c>
    </row>
    <row r="3" spans="1:36" ht="14.5" customHeight="1" x14ac:dyDescent="0.35">
      <c r="A3" s="227">
        <v>2020</v>
      </c>
      <c r="B3" s="168" t="s">
        <v>55</v>
      </c>
      <c r="C3" s="321" t="s">
        <v>118</v>
      </c>
      <c r="D3" s="102"/>
      <c r="E3" s="103">
        <v>6638.5</v>
      </c>
      <c r="F3" s="120">
        <f>(D3-E3)/E3</f>
        <v>-1</v>
      </c>
      <c r="G3" s="323" t="s">
        <v>118</v>
      </c>
      <c r="H3" s="108"/>
      <c r="I3" s="109">
        <v>2470.5</v>
      </c>
      <c r="J3" s="123">
        <f>(H3-I3)/I3</f>
        <v>-1</v>
      </c>
      <c r="K3" s="325" t="s">
        <v>118</v>
      </c>
      <c r="L3" s="114"/>
      <c r="M3" s="115">
        <v>1584.1</v>
      </c>
      <c r="N3" s="126">
        <f>(L3-M3)/M3</f>
        <v>-1</v>
      </c>
      <c r="O3" s="327" t="s">
        <v>118</v>
      </c>
      <c r="P3" s="132"/>
      <c r="Q3" s="133">
        <v>1.0962000000000001</v>
      </c>
      <c r="R3" s="129">
        <f>(P3-Q3)/Q3</f>
        <v>-1</v>
      </c>
      <c r="S3" s="227">
        <v>2020</v>
      </c>
      <c r="T3" s="168" t="s">
        <v>55</v>
      </c>
      <c r="U3" s="321" t="s">
        <v>118</v>
      </c>
      <c r="V3" s="102"/>
      <c r="W3" s="103">
        <v>6638.5</v>
      </c>
      <c r="X3" s="120">
        <f>(V3-W3)/W3</f>
        <v>-1</v>
      </c>
      <c r="Y3" s="323" t="s">
        <v>118</v>
      </c>
      <c r="Z3" s="108"/>
      <c r="AA3" s="109">
        <v>2470.5</v>
      </c>
      <c r="AB3" s="123">
        <f>(Z3-AA3)/AA3</f>
        <v>-1</v>
      </c>
      <c r="AC3" s="325" t="s">
        <v>118</v>
      </c>
      <c r="AD3" s="114"/>
      <c r="AE3" s="115">
        <v>1584.1</v>
      </c>
      <c r="AF3" s="126">
        <f>(AD3-AE3)/AE3</f>
        <v>-1</v>
      </c>
      <c r="AG3" s="327" t="s">
        <v>118</v>
      </c>
      <c r="AH3" s="132"/>
      <c r="AI3" s="133">
        <v>1.0962000000000001</v>
      </c>
      <c r="AJ3" s="129">
        <f>(AH3-AI3)/AI3</f>
        <v>-1</v>
      </c>
    </row>
    <row r="4" spans="1:36" ht="14.5" customHeight="1" x14ac:dyDescent="0.35">
      <c r="A4" s="228"/>
      <c r="B4" s="141" t="s">
        <v>56</v>
      </c>
      <c r="C4" s="329">
        <v>3.2390000000000001E-3</v>
      </c>
      <c r="D4" s="104"/>
      <c r="E4" s="105">
        <v>9229.9</v>
      </c>
      <c r="F4" s="121">
        <f>(D4-E4)/E4</f>
        <v>-1</v>
      </c>
      <c r="G4" s="332">
        <v>1.0900000000000001E-4</v>
      </c>
      <c r="H4" s="110"/>
      <c r="I4" s="111">
        <v>3115.9</v>
      </c>
      <c r="J4" s="124">
        <f>(H4-I4)/I4</f>
        <v>-1</v>
      </c>
      <c r="K4" s="333"/>
      <c r="L4" s="116"/>
      <c r="M4" s="117">
        <v>1779.9</v>
      </c>
      <c r="N4" s="127">
        <f>(L4-M4)/M4</f>
        <v>-1</v>
      </c>
      <c r="O4" s="336"/>
      <c r="P4" s="134"/>
      <c r="Q4" s="135">
        <v>1.125</v>
      </c>
      <c r="R4" s="130">
        <f>(P4-Q4)/Q4</f>
        <v>-1</v>
      </c>
      <c r="S4" s="228"/>
      <c r="T4" s="141" t="s">
        <v>56</v>
      </c>
      <c r="U4" s="329"/>
      <c r="V4" s="104"/>
      <c r="W4" s="105">
        <v>9229.9</v>
      </c>
      <c r="X4" s="121">
        <f>(V4-W4)/W4</f>
        <v>-1</v>
      </c>
      <c r="Y4" s="332"/>
      <c r="Z4" s="110"/>
      <c r="AA4" s="111">
        <v>3115.9</v>
      </c>
      <c r="AB4" s="124">
        <f>(Z4-AA4)/AA4</f>
        <v>-1</v>
      </c>
      <c r="AC4" s="333"/>
      <c r="AD4" s="116"/>
      <c r="AE4" s="117">
        <v>1779.9</v>
      </c>
      <c r="AF4" s="127">
        <f>(AD4-AE4)/AE4</f>
        <v>-1</v>
      </c>
      <c r="AG4" s="336"/>
      <c r="AH4" s="134"/>
      <c r="AI4" s="135">
        <v>1.125</v>
      </c>
      <c r="AJ4" s="130">
        <f>(AH4-AI4)/AI4</f>
        <v>-1</v>
      </c>
    </row>
    <row r="5" spans="1:36" ht="14.5" customHeight="1" x14ac:dyDescent="0.35">
      <c r="A5" s="228"/>
      <c r="B5" s="141" t="s">
        <v>57</v>
      </c>
      <c r="C5" s="322" t="s">
        <v>119</v>
      </c>
      <c r="D5" s="104"/>
      <c r="E5" s="105">
        <v>10620.5</v>
      </c>
      <c r="F5" s="121">
        <f>(D5-E5)/E5</f>
        <v>-1</v>
      </c>
      <c r="G5" s="324" t="s">
        <v>119</v>
      </c>
      <c r="H5" s="110"/>
      <c r="I5" s="111">
        <v>3380.8</v>
      </c>
      <c r="J5" s="124">
        <f>(H5-I5)/I5</f>
        <v>-1</v>
      </c>
      <c r="K5" s="326" t="s">
        <v>119</v>
      </c>
      <c r="L5" s="116"/>
      <c r="M5" s="117">
        <v>1912.3</v>
      </c>
      <c r="N5" s="127">
        <f>(L5-M5)/M5</f>
        <v>-1</v>
      </c>
      <c r="O5" s="328" t="s">
        <v>119</v>
      </c>
      <c r="P5" s="134"/>
      <c r="Q5" s="135">
        <v>1.1747000000000001</v>
      </c>
      <c r="R5" s="130">
        <f>(P5-Q5)/Q5</f>
        <v>-1</v>
      </c>
      <c r="S5" s="228"/>
      <c r="T5" s="141" t="s">
        <v>57</v>
      </c>
      <c r="U5" s="322" t="s">
        <v>119</v>
      </c>
      <c r="V5" s="104"/>
      <c r="W5" s="105">
        <v>10620.5</v>
      </c>
      <c r="X5" s="121">
        <f>(V5-W5)/W5</f>
        <v>-1</v>
      </c>
      <c r="Y5" s="324" t="s">
        <v>119</v>
      </c>
      <c r="Z5" s="110"/>
      <c r="AA5" s="111">
        <v>3380.8</v>
      </c>
      <c r="AB5" s="124">
        <f>(Z5-AA5)/AA5</f>
        <v>-1</v>
      </c>
      <c r="AC5" s="326" t="s">
        <v>119</v>
      </c>
      <c r="AD5" s="116"/>
      <c r="AE5" s="117">
        <v>1912.3</v>
      </c>
      <c r="AF5" s="127">
        <f>(AD5-AE5)/AE5</f>
        <v>-1</v>
      </c>
      <c r="AG5" s="328" t="s">
        <v>119</v>
      </c>
      <c r="AH5" s="134"/>
      <c r="AI5" s="135">
        <v>1.1747000000000001</v>
      </c>
      <c r="AJ5" s="130">
        <f>(AH5-AI5)/AI5</f>
        <v>-1</v>
      </c>
    </row>
    <row r="6" spans="1:36" ht="15" customHeight="1" thickBot="1" x14ac:dyDescent="0.4">
      <c r="A6" s="230"/>
      <c r="B6" s="141" t="s">
        <v>58</v>
      </c>
      <c r="C6" s="330">
        <v>6.9629999999999997E-2</v>
      </c>
      <c r="D6" s="106"/>
      <c r="E6" s="107">
        <v>29359.9</v>
      </c>
      <c r="F6" s="122">
        <f>(D6-E6)/E6</f>
        <v>-1</v>
      </c>
      <c r="G6" s="331">
        <v>9.8750000000000001E-3</v>
      </c>
      <c r="H6" s="112"/>
      <c r="I6" s="113">
        <v>3756.1</v>
      </c>
      <c r="J6" s="125">
        <f>(H6-I6)/I6</f>
        <v>-1</v>
      </c>
      <c r="K6" s="334"/>
      <c r="L6" s="118"/>
      <c r="M6" s="119">
        <v>1895.1</v>
      </c>
      <c r="N6" s="128">
        <f>(L6-M6)/M6</f>
        <v>-1</v>
      </c>
      <c r="O6" s="335"/>
      <c r="P6" s="136"/>
      <c r="Q6" s="137">
        <v>1.2213000000000001</v>
      </c>
      <c r="R6" s="131">
        <f>(P6-Q6)/Q6</f>
        <v>-1</v>
      </c>
      <c r="S6" s="230"/>
      <c r="T6" s="141" t="s">
        <v>58</v>
      </c>
      <c r="U6" s="330"/>
      <c r="V6" s="106"/>
      <c r="W6" s="107">
        <v>29359.9</v>
      </c>
      <c r="X6" s="122">
        <f>(V6-W6)/W6</f>
        <v>-1</v>
      </c>
      <c r="Y6" s="331"/>
      <c r="Z6" s="112"/>
      <c r="AA6" s="113">
        <v>3756.1</v>
      </c>
      <c r="AB6" s="125">
        <f>(Z6-AA6)/AA6</f>
        <v>-1</v>
      </c>
      <c r="AC6" s="334"/>
      <c r="AD6" s="118"/>
      <c r="AE6" s="119">
        <v>1895.1</v>
      </c>
      <c r="AF6" s="128">
        <f>(AD6-AE6)/AE6</f>
        <v>-1</v>
      </c>
      <c r="AG6" s="335"/>
      <c r="AH6" s="136"/>
      <c r="AI6" s="137">
        <v>1.2213000000000001</v>
      </c>
      <c r="AJ6" s="131">
        <f>(AH6-AI6)/AI6</f>
        <v>-1</v>
      </c>
    </row>
    <row r="7" spans="1:36" ht="14.5" customHeight="1" x14ac:dyDescent="0.35">
      <c r="A7" s="227">
        <v>2021</v>
      </c>
      <c r="B7" s="168" t="s">
        <v>59</v>
      </c>
      <c r="C7" s="321" t="s">
        <v>118</v>
      </c>
      <c r="D7" s="102"/>
      <c r="E7" s="103">
        <v>58718.3</v>
      </c>
      <c r="F7" s="120">
        <f t="shared" ref="F7:F30" si="0">(D7-E7)/E7</f>
        <v>-1</v>
      </c>
      <c r="G7" s="323" t="s">
        <v>118</v>
      </c>
      <c r="H7" s="108"/>
      <c r="I7" s="109">
        <v>4019.9</v>
      </c>
      <c r="J7" s="123">
        <f t="shared" ref="J7:J30" si="1">(H7-I7)/I7</f>
        <v>-1</v>
      </c>
      <c r="K7" s="325" t="s">
        <v>118</v>
      </c>
      <c r="L7" s="114"/>
      <c r="M7" s="115">
        <v>1727.3</v>
      </c>
      <c r="N7" s="126">
        <f t="shared" ref="N7:N30" si="2">(L7-M7)/M7</f>
        <v>-1</v>
      </c>
      <c r="O7" s="327" t="s">
        <v>118</v>
      </c>
      <c r="P7" s="132"/>
      <c r="Q7" s="133">
        <v>1.1775</v>
      </c>
      <c r="R7" s="129">
        <f t="shared" ref="R7:R30" si="3">(P7-Q7)/Q7</f>
        <v>-1</v>
      </c>
      <c r="S7" s="227">
        <v>2021</v>
      </c>
      <c r="T7" s="168" t="s">
        <v>59</v>
      </c>
      <c r="U7" s="321" t="s">
        <v>118</v>
      </c>
      <c r="V7" s="102"/>
      <c r="W7" s="103">
        <v>58718.3</v>
      </c>
      <c r="X7" s="120">
        <f t="shared" ref="X7:X30" si="4">(V7-W7)/W7</f>
        <v>-1</v>
      </c>
      <c r="Y7" s="323" t="s">
        <v>118</v>
      </c>
      <c r="Z7" s="108"/>
      <c r="AA7" s="109">
        <v>4019.9</v>
      </c>
      <c r="AB7" s="123">
        <f t="shared" ref="AB7:AB30" si="5">(Z7-AA7)/AA7</f>
        <v>-1</v>
      </c>
      <c r="AC7" s="325" t="s">
        <v>118</v>
      </c>
      <c r="AD7" s="114"/>
      <c r="AE7" s="115">
        <v>1727.3</v>
      </c>
      <c r="AF7" s="126">
        <f t="shared" ref="AF7:AF30" si="6">(AD7-AE7)/AE7</f>
        <v>-1</v>
      </c>
      <c r="AG7" s="327" t="s">
        <v>118</v>
      </c>
      <c r="AH7" s="132"/>
      <c r="AI7" s="133">
        <v>1.1775</v>
      </c>
      <c r="AJ7" s="129">
        <f t="shared" ref="AJ7:AJ30" si="7">(AH7-AI7)/AI7</f>
        <v>-1</v>
      </c>
    </row>
    <row r="8" spans="1:36" ht="14.5" customHeight="1" x14ac:dyDescent="0.35">
      <c r="A8" s="228"/>
      <c r="B8" s="141" t="s">
        <v>60</v>
      </c>
      <c r="C8" s="329"/>
      <c r="D8" s="104"/>
      <c r="E8" s="105">
        <v>33543.599999999999</v>
      </c>
      <c r="F8" s="121">
        <f t="shared" si="0"/>
        <v>-1</v>
      </c>
      <c r="G8" s="332"/>
      <c r="H8" s="110"/>
      <c r="I8" s="111">
        <v>4319.8999999999996</v>
      </c>
      <c r="J8" s="124">
        <f t="shared" si="1"/>
        <v>-1</v>
      </c>
      <c r="K8" s="333"/>
      <c r="L8" s="116"/>
      <c r="M8" s="117">
        <v>1776.8</v>
      </c>
      <c r="N8" s="127">
        <f t="shared" si="2"/>
        <v>-1</v>
      </c>
      <c r="O8" s="336"/>
      <c r="P8" s="134"/>
      <c r="Q8" s="135">
        <v>1.1848000000000001</v>
      </c>
      <c r="R8" s="130">
        <f t="shared" si="3"/>
        <v>-1</v>
      </c>
      <c r="S8" s="228"/>
      <c r="T8" s="141" t="s">
        <v>60</v>
      </c>
      <c r="U8" s="329"/>
      <c r="V8" s="104"/>
      <c r="W8" s="105">
        <v>33543.599999999999</v>
      </c>
      <c r="X8" s="121">
        <f t="shared" si="4"/>
        <v>-1</v>
      </c>
      <c r="Y8" s="332"/>
      <c r="Z8" s="110"/>
      <c r="AA8" s="111">
        <v>4319.8999999999996</v>
      </c>
      <c r="AB8" s="124">
        <f t="shared" si="5"/>
        <v>-1</v>
      </c>
      <c r="AC8" s="333"/>
      <c r="AD8" s="116"/>
      <c r="AE8" s="117">
        <v>1776.8</v>
      </c>
      <c r="AF8" s="127">
        <f t="shared" si="6"/>
        <v>-1</v>
      </c>
      <c r="AG8" s="336"/>
      <c r="AH8" s="134"/>
      <c r="AI8" s="135">
        <v>1.1848000000000001</v>
      </c>
      <c r="AJ8" s="130">
        <f t="shared" si="7"/>
        <v>-1</v>
      </c>
    </row>
    <row r="9" spans="1:36" ht="14.5" customHeight="1" x14ac:dyDescent="0.35">
      <c r="A9" s="228"/>
      <c r="B9" s="141" t="s">
        <v>61</v>
      </c>
      <c r="C9" s="322" t="s">
        <v>119</v>
      </c>
      <c r="D9" s="104"/>
      <c r="E9" s="105">
        <v>48146</v>
      </c>
      <c r="F9" s="121">
        <f t="shared" si="0"/>
        <v>-1</v>
      </c>
      <c r="G9" s="324" t="s">
        <v>119</v>
      </c>
      <c r="H9" s="110"/>
      <c r="I9" s="111">
        <v>4357</v>
      </c>
      <c r="J9" s="124">
        <f t="shared" si="1"/>
        <v>-1</v>
      </c>
      <c r="K9" s="326" t="s">
        <v>119</v>
      </c>
      <c r="L9" s="116"/>
      <c r="M9" s="117">
        <v>1757.7</v>
      </c>
      <c r="N9" s="127">
        <f t="shared" si="2"/>
        <v>-1</v>
      </c>
      <c r="O9" s="328" t="s">
        <v>119</v>
      </c>
      <c r="P9" s="134"/>
      <c r="Q9" s="135">
        <v>1.1594</v>
      </c>
      <c r="R9" s="130">
        <f t="shared" si="3"/>
        <v>-1</v>
      </c>
      <c r="S9" s="228"/>
      <c r="T9" s="141" t="s">
        <v>61</v>
      </c>
      <c r="U9" s="322" t="s">
        <v>119</v>
      </c>
      <c r="V9" s="104"/>
      <c r="W9" s="105">
        <v>48146</v>
      </c>
      <c r="X9" s="121">
        <f t="shared" si="4"/>
        <v>-1</v>
      </c>
      <c r="Y9" s="324" t="s">
        <v>119</v>
      </c>
      <c r="Z9" s="110"/>
      <c r="AA9" s="111">
        <v>4357</v>
      </c>
      <c r="AB9" s="124">
        <f t="shared" si="5"/>
        <v>-1</v>
      </c>
      <c r="AC9" s="326" t="s">
        <v>119</v>
      </c>
      <c r="AD9" s="116"/>
      <c r="AE9" s="117">
        <v>1757.7</v>
      </c>
      <c r="AF9" s="127">
        <f t="shared" si="6"/>
        <v>-1</v>
      </c>
      <c r="AG9" s="328" t="s">
        <v>119</v>
      </c>
      <c r="AH9" s="134"/>
      <c r="AI9" s="135">
        <v>1.1594</v>
      </c>
      <c r="AJ9" s="130">
        <f t="shared" si="7"/>
        <v>-1</v>
      </c>
    </row>
    <row r="10" spans="1:36" ht="15" customHeight="1" thickBot="1" x14ac:dyDescent="0.4">
      <c r="A10" s="228"/>
      <c r="B10" s="141" t="s">
        <v>62</v>
      </c>
      <c r="C10" s="330"/>
      <c r="D10" s="106"/>
      <c r="E10" s="107">
        <v>47738</v>
      </c>
      <c r="F10" s="122">
        <f t="shared" si="0"/>
        <v>-1</v>
      </c>
      <c r="G10" s="331"/>
      <c r="H10" s="112"/>
      <c r="I10" s="113">
        <v>4766.2</v>
      </c>
      <c r="J10" s="125">
        <f t="shared" si="1"/>
        <v>-1</v>
      </c>
      <c r="K10" s="334"/>
      <c r="L10" s="118"/>
      <c r="M10" s="119">
        <v>1828.6</v>
      </c>
      <c r="N10" s="128">
        <f t="shared" si="2"/>
        <v>-1</v>
      </c>
      <c r="O10" s="335"/>
      <c r="P10" s="136"/>
      <c r="Q10" s="137">
        <v>1.1368</v>
      </c>
      <c r="R10" s="131">
        <f t="shared" si="3"/>
        <v>-1</v>
      </c>
      <c r="S10" s="228"/>
      <c r="T10" s="141" t="s">
        <v>62</v>
      </c>
      <c r="U10" s="330"/>
      <c r="V10" s="106"/>
      <c r="W10" s="107">
        <v>47738</v>
      </c>
      <c r="X10" s="122">
        <f t="shared" si="4"/>
        <v>-1</v>
      </c>
      <c r="Y10" s="331"/>
      <c r="Z10" s="112"/>
      <c r="AA10" s="113">
        <v>4766.2</v>
      </c>
      <c r="AB10" s="125">
        <f t="shared" si="5"/>
        <v>-1</v>
      </c>
      <c r="AC10" s="334"/>
      <c r="AD10" s="118"/>
      <c r="AE10" s="119">
        <v>1828.6</v>
      </c>
      <c r="AF10" s="128">
        <f t="shared" si="6"/>
        <v>-1</v>
      </c>
      <c r="AG10" s="335"/>
      <c r="AH10" s="136"/>
      <c r="AI10" s="137">
        <v>1.1368</v>
      </c>
      <c r="AJ10" s="131">
        <f t="shared" si="7"/>
        <v>-1</v>
      </c>
    </row>
    <row r="11" spans="1:36" ht="14.5" customHeight="1" x14ac:dyDescent="0.35">
      <c r="A11" s="227">
        <v>2022</v>
      </c>
      <c r="B11" s="168" t="s">
        <v>63</v>
      </c>
      <c r="C11" s="321" t="s">
        <v>118</v>
      </c>
      <c r="D11" s="102"/>
      <c r="E11" s="103">
        <v>46297</v>
      </c>
      <c r="F11" s="120">
        <f t="shared" si="0"/>
        <v>-1</v>
      </c>
      <c r="G11" s="323" t="s">
        <v>118</v>
      </c>
      <c r="H11" s="108"/>
      <c r="I11" s="109">
        <v>4545.8599999999997</v>
      </c>
      <c r="J11" s="123">
        <f t="shared" si="1"/>
        <v>-1</v>
      </c>
      <c r="K11" s="325" t="s">
        <v>118</v>
      </c>
      <c r="L11" s="114"/>
      <c r="M11" s="115">
        <v>1951.1</v>
      </c>
      <c r="N11" s="126">
        <f t="shared" si="2"/>
        <v>-1</v>
      </c>
      <c r="O11" s="327" t="s">
        <v>118</v>
      </c>
      <c r="P11" s="132"/>
      <c r="Q11" s="133">
        <v>1.1052999999999999</v>
      </c>
      <c r="R11" s="129">
        <f t="shared" si="3"/>
        <v>-1</v>
      </c>
      <c r="S11" s="227">
        <v>2022</v>
      </c>
      <c r="T11" s="168" t="s">
        <v>63</v>
      </c>
      <c r="U11" s="321" t="s">
        <v>118</v>
      </c>
      <c r="V11" s="102"/>
      <c r="W11" s="103">
        <v>46297</v>
      </c>
      <c r="X11" s="120">
        <f t="shared" si="4"/>
        <v>-1</v>
      </c>
      <c r="Y11" s="323" t="s">
        <v>118</v>
      </c>
      <c r="Z11" s="108"/>
      <c r="AA11" s="109">
        <v>4545.8599999999997</v>
      </c>
      <c r="AB11" s="123">
        <f t="shared" si="5"/>
        <v>-1</v>
      </c>
      <c r="AC11" s="325" t="s">
        <v>118</v>
      </c>
      <c r="AD11" s="114"/>
      <c r="AE11" s="115">
        <v>1951.1</v>
      </c>
      <c r="AF11" s="126">
        <f t="shared" si="6"/>
        <v>-1</v>
      </c>
      <c r="AG11" s="327" t="s">
        <v>118</v>
      </c>
      <c r="AH11" s="132"/>
      <c r="AI11" s="133">
        <v>1.1052999999999999</v>
      </c>
      <c r="AJ11" s="129">
        <f t="shared" si="7"/>
        <v>-1</v>
      </c>
    </row>
    <row r="12" spans="1:36" ht="14.5" customHeight="1" x14ac:dyDescent="0.35">
      <c r="A12" s="228"/>
      <c r="B12" s="141" t="s">
        <v>64</v>
      </c>
      <c r="C12" s="329"/>
      <c r="D12" s="104"/>
      <c r="E12" s="105">
        <v>19262.900000000001</v>
      </c>
      <c r="F12" s="121">
        <f t="shared" si="0"/>
        <v>-1</v>
      </c>
      <c r="G12" s="332"/>
      <c r="H12" s="110"/>
      <c r="I12" s="111">
        <v>3825.33</v>
      </c>
      <c r="J12" s="124">
        <f t="shared" si="1"/>
        <v>-1</v>
      </c>
      <c r="K12" s="333"/>
      <c r="L12" s="116"/>
      <c r="M12" s="117">
        <v>1807.3</v>
      </c>
      <c r="N12" s="127">
        <f t="shared" si="2"/>
        <v>-1</v>
      </c>
      <c r="O12" s="336"/>
      <c r="P12" s="134"/>
      <c r="Q12" s="135">
        <v>1.0427999999999999</v>
      </c>
      <c r="R12" s="130">
        <f t="shared" si="3"/>
        <v>-1</v>
      </c>
      <c r="S12" s="228"/>
      <c r="T12" s="141" t="s">
        <v>64</v>
      </c>
      <c r="U12" s="329"/>
      <c r="V12" s="104"/>
      <c r="W12" s="105">
        <v>19262.900000000001</v>
      </c>
      <c r="X12" s="121">
        <f t="shared" si="4"/>
        <v>-1</v>
      </c>
      <c r="Y12" s="332"/>
      <c r="Z12" s="110"/>
      <c r="AA12" s="111">
        <v>3825.33</v>
      </c>
      <c r="AB12" s="124">
        <f t="shared" si="5"/>
        <v>-1</v>
      </c>
      <c r="AC12" s="333"/>
      <c r="AD12" s="116"/>
      <c r="AE12" s="117">
        <v>1807.3</v>
      </c>
      <c r="AF12" s="127">
        <f t="shared" si="6"/>
        <v>-1</v>
      </c>
      <c r="AG12" s="336"/>
      <c r="AH12" s="134"/>
      <c r="AI12" s="135">
        <v>1.0427999999999999</v>
      </c>
      <c r="AJ12" s="130">
        <f t="shared" si="7"/>
        <v>-1</v>
      </c>
    </row>
    <row r="13" spans="1:36" ht="14.5" customHeight="1" x14ac:dyDescent="0.35">
      <c r="A13" s="228"/>
      <c r="B13" s="141" t="s">
        <v>65</v>
      </c>
      <c r="C13" s="322" t="s">
        <v>119</v>
      </c>
      <c r="D13" s="104"/>
      <c r="E13" s="105">
        <v>19311.900000000001</v>
      </c>
      <c r="F13" s="121">
        <f t="shared" si="0"/>
        <v>-1</v>
      </c>
      <c r="G13" s="324" t="s">
        <v>119</v>
      </c>
      <c r="H13" s="110"/>
      <c r="I13" s="111">
        <v>3585.62</v>
      </c>
      <c r="J13" s="124">
        <f t="shared" si="1"/>
        <v>-1</v>
      </c>
      <c r="K13" s="326" t="s">
        <v>119</v>
      </c>
      <c r="L13" s="116"/>
      <c r="M13" s="117">
        <v>1663.6</v>
      </c>
      <c r="N13" s="127">
        <f t="shared" si="2"/>
        <v>-1</v>
      </c>
      <c r="O13" s="328" t="s">
        <v>119</v>
      </c>
      <c r="P13" s="134"/>
      <c r="Q13" s="135">
        <v>0.97989999999999999</v>
      </c>
      <c r="R13" s="130">
        <f t="shared" si="3"/>
        <v>-1</v>
      </c>
      <c r="S13" s="228"/>
      <c r="T13" s="141" t="s">
        <v>65</v>
      </c>
      <c r="U13" s="322" t="s">
        <v>119</v>
      </c>
      <c r="V13" s="104"/>
      <c r="W13" s="105">
        <v>19311.900000000001</v>
      </c>
      <c r="X13" s="121">
        <f t="shared" si="4"/>
        <v>-1</v>
      </c>
      <c r="Y13" s="324" t="s">
        <v>119</v>
      </c>
      <c r="Z13" s="110"/>
      <c r="AA13" s="111">
        <v>3585.62</v>
      </c>
      <c r="AB13" s="124">
        <f t="shared" si="5"/>
        <v>-1</v>
      </c>
      <c r="AC13" s="326" t="s">
        <v>119</v>
      </c>
      <c r="AD13" s="116"/>
      <c r="AE13" s="117">
        <v>1663.6</v>
      </c>
      <c r="AF13" s="127">
        <f t="shared" si="6"/>
        <v>-1</v>
      </c>
      <c r="AG13" s="328" t="s">
        <v>119</v>
      </c>
      <c r="AH13" s="134"/>
      <c r="AI13" s="135">
        <v>0.97989999999999999</v>
      </c>
      <c r="AJ13" s="130">
        <f t="shared" si="7"/>
        <v>-1</v>
      </c>
    </row>
    <row r="14" spans="1:36" ht="15" customHeight="1" thickBot="1" x14ac:dyDescent="0.4">
      <c r="A14" s="230"/>
      <c r="B14" s="141" t="s">
        <v>66</v>
      </c>
      <c r="C14" s="330"/>
      <c r="D14" s="106"/>
      <c r="E14" s="107">
        <v>16618.400000000001</v>
      </c>
      <c r="F14" s="122">
        <f t="shared" si="0"/>
        <v>-1</v>
      </c>
      <c r="G14" s="331"/>
      <c r="H14" s="112"/>
      <c r="I14" s="113">
        <v>3839.5</v>
      </c>
      <c r="J14" s="125">
        <f t="shared" si="1"/>
        <v>-1</v>
      </c>
      <c r="K14" s="334"/>
      <c r="L14" s="118"/>
      <c r="M14" s="119">
        <v>1826</v>
      </c>
      <c r="N14" s="128">
        <f t="shared" si="2"/>
        <v>-1</v>
      </c>
      <c r="O14" s="335"/>
      <c r="P14" s="136"/>
      <c r="Q14" s="137">
        <v>1.0702</v>
      </c>
      <c r="R14" s="131">
        <f t="shared" si="3"/>
        <v>-1</v>
      </c>
      <c r="S14" s="230"/>
      <c r="T14" s="141" t="s">
        <v>66</v>
      </c>
      <c r="U14" s="330"/>
      <c r="V14" s="106"/>
      <c r="W14" s="107">
        <v>16618.400000000001</v>
      </c>
      <c r="X14" s="122">
        <f t="shared" si="4"/>
        <v>-1</v>
      </c>
      <c r="Y14" s="331"/>
      <c r="Z14" s="112"/>
      <c r="AA14" s="113">
        <v>3839.5</v>
      </c>
      <c r="AB14" s="125">
        <f t="shared" si="5"/>
        <v>-1</v>
      </c>
      <c r="AC14" s="334"/>
      <c r="AD14" s="118"/>
      <c r="AE14" s="119">
        <v>1826</v>
      </c>
      <c r="AF14" s="128">
        <f t="shared" si="6"/>
        <v>-1</v>
      </c>
      <c r="AG14" s="335"/>
      <c r="AH14" s="136"/>
      <c r="AI14" s="137">
        <v>1.0702</v>
      </c>
      <c r="AJ14" s="131">
        <f t="shared" si="7"/>
        <v>-1</v>
      </c>
    </row>
    <row r="15" spans="1:36" ht="14.5" customHeight="1" x14ac:dyDescent="0.35">
      <c r="A15" s="227">
        <v>2023</v>
      </c>
      <c r="B15" s="168" t="s">
        <v>67</v>
      </c>
      <c r="C15" s="321" t="s">
        <v>118</v>
      </c>
      <c r="D15" s="102"/>
      <c r="E15" s="103">
        <v>28456.1</v>
      </c>
      <c r="F15" s="120">
        <f t="shared" si="0"/>
        <v>-1</v>
      </c>
      <c r="G15" s="323" t="s">
        <v>118</v>
      </c>
      <c r="H15" s="108"/>
      <c r="I15" s="109">
        <v>4109.3100000000004</v>
      </c>
      <c r="J15" s="123">
        <f t="shared" si="1"/>
        <v>-1</v>
      </c>
      <c r="K15" s="325" t="s">
        <v>118</v>
      </c>
      <c r="L15" s="114"/>
      <c r="M15" s="115">
        <v>1988.5</v>
      </c>
      <c r="N15" s="126">
        <f t="shared" si="2"/>
        <v>-1</v>
      </c>
      <c r="O15" s="327" t="s">
        <v>118</v>
      </c>
      <c r="P15" s="132"/>
      <c r="Q15" s="133">
        <v>1.0839000000000001</v>
      </c>
      <c r="R15" s="129">
        <f t="shared" si="3"/>
        <v>-1</v>
      </c>
      <c r="S15" s="227">
        <v>2023</v>
      </c>
      <c r="T15" s="168" t="s">
        <v>67</v>
      </c>
      <c r="U15" s="321" t="s">
        <v>118</v>
      </c>
      <c r="V15" s="102"/>
      <c r="W15" s="103">
        <v>28456.1</v>
      </c>
      <c r="X15" s="120">
        <f t="shared" si="4"/>
        <v>-1</v>
      </c>
      <c r="Y15" s="323" t="s">
        <v>118</v>
      </c>
      <c r="Z15" s="108"/>
      <c r="AA15" s="109">
        <v>4109.3100000000004</v>
      </c>
      <c r="AB15" s="123">
        <f t="shared" si="5"/>
        <v>-1</v>
      </c>
      <c r="AC15" s="325" t="s">
        <v>118</v>
      </c>
      <c r="AD15" s="114"/>
      <c r="AE15" s="115">
        <v>1988.5</v>
      </c>
      <c r="AF15" s="126">
        <f t="shared" si="6"/>
        <v>-1</v>
      </c>
      <c r="AG15" s="327" t="s">
        <v>118</v>
      </c>
      <c r="AH15" s="132"/>
      <c r="AI15" s="133">
        <v>1.0839000000000001</v>
      </c>
      <c r="AJ15" s="129">
        <f t="shared" si="7"/>
        <v>-1</v>
      </c>
    </row>
    <row r="16" spans="1:36" ht="14.5" customHeight="1" x14ac:dyDescent="0.35">
      <c r="A16" s="228"/>
      <c r="B16" s="141" t="s">
        <v>68</v>
      </c>
      <c r="C16" s="329"/>
      <c r="D16" s="104"/>
      <c r="E16" s="105">
        <v>30586.799999999999</v>
      </c>
      <c r="F16" s="121">
        <f t="shared" si="0"/>
        <v>-1</v>
      </c>
      <c r="G16" s="332"/>
      <c r="H16" s="110"/>
      <c r="I16" s="111">
        <v>4450.38</v>
      </c>
      <c r="J16" s="124">
        <f t="shared" si="1"/>
        <v>-1</v>
      </c>
      <c r="K16" s="333"/>
      <c r="L16" s="116"/>
      <c r="M16" s="117">
        <v>1917.9</v>
      </c>
      <c r="N16" s="127">
        <f t="shared" si="2"/>
        <v>-1</v>
      </c>
      <c r="O16" s="336"/>
      <c r="P16" s="134"/>
      <c r="Q16" s="135">
        <v>1.091</v>
      </c>
      <c r="R16" s="130">
        <f t="shared" si="3"/>
        <v>-1</v>
      </c>
      <c r="S16" s="228"/>
      <c r="T16" s="141" t="s">
        <v>68</v>
      </c>
      <c r="U16" s="329"/>
      <c r="V16" s="104"/>
      <c r="W16" s="105">
        <v>30586.799999999999</v>
      </c>
      <c r="X16" s="121">
        <f t="shared" si="4"/>
        <v>-1</v>
      </c>
      <c r="Y16" s="332"/>
      <c r="Z16" s="110"/>
      <c r="AA16" s="111">
        <v>4450.38</v>
      </c>
      <c r="AB16" s="124">
        <f t="shared" si="5"/>
        <v>-1</v>
      </c>
      <c r="AC16" s="333"/>
      <c r="AD16" s="116"/>
      <c r="AE16" s="117">
        <v>1917.9</v>
      </c>
      <c r="AF16" s="127">
        <f t="shared" si="6"/>
        <v>-1</v>
      </c>
      <c r="AG16" s="336"/>
      <c r="AH16" s="134"/>
      <c r="AI16" s="135">
        <v>1.091</v>
      </c>
      <c r="AJ16" s="130">
        <f t="shared" si="7"/>
        <v>-1</v>
      </c>
    </row>
    <row r="17" spans="1:36" ht="14.5" customHeight="1" x14ac:dyDescent="0.35">
      <c r="A17" s="228"/>
      <c r="B17" s="141" t="s">
        <v>69</v>
      </c>
      <c r="C17" s="322" t="s">
        <v>119</v>
      </c>
      <c r="D17" s="104"/>
      <c r="E17" s="105">
        <v>27974.5</v>
      </c>
      <c r="F17" s="121">
        <f t="shared" si="0"/>
        <v>-1</v>
      </c>
      <c r="G17" s="324" t="s">
        <v>119</v>
      </c>
      <c r="H17" s="110"/>
      <c r="I17" s="111">
        <v>4288.05</v>
      </c>
      <c r="J17" s="124">
        <f t="shared" si="1"/>
        <v>-1</v>
      </c>
      <c r="K17" s="326" t="s">
        <v>119</v>
      </c>
      <c r="L17" s="116"/>
      <c r="M17" s="117">
        <v>1869.5</v>
      </c>
      <c r="N17" s="127">
        <f t="shared" si="2"/>
        <v>-1</v>
      </c>
      <c r="O17" s="328" t="s">
        <v>119</v>
      </c>
      <c r="P17" s="134"/>
      <c r="Q17" s="135">
        <v>1.0569999999999999</v>
      </c>
      <c r="R17" s="130">
        <f t="shared" si="3"/>
        <v>-1</v>
      </c>
      <c r="S17" s="228"/>
      <c r="T17" s="141" t="s">
        <v>69</v>
      </c>
      <c r="U17" s="322" t="s">
        <v>119</v>
      </c>
      <c r="V17" s="104"/>
      <c r="W17" s="105">
        <v>27974.5</v>
      </c>
      <c r="X17" s="121">
        <f t="shared" si="4"/>
        <v>-1</v>
      </c>
      <c r="Y17" s="324" t="s">
        <v>119</v>
      </c>
      <c r="Z17" s="110"/>
      <c r="AA17" s="111">
        <v>4288.05</v>
      </c>
      <c r="AB17" s="124">
        <f t="shared" si="5"/>
        <v>-1</v>
      </c>
      <c r="AC17" s="326" t="s">
        <v>119</v>
      </c>
      <c r="AD17" s="116"/>
      <c r="AE17" s="117">
        <v>1869.5</v>
      </c>
      <c r="AF17" s="127">
        <f t="shared" si="6"/>
        <v>-1</v>
      </c>
      <c r="AG17" s="328" t="s">
        <v>119</v>
      </c>
      <c r="AH17" s="134"/>
      <c r="AI17" s="135">
        <v>1.0569999999999999</v>
      </c>
      <c r="AJ17" s="130">
        <f t="shared" si="7"/>
        <v>-1</v>
      </c>
    </row>
    <row r="18" spans="1:36" ht="15" customHeight="1" thickBot="1" x14ac:dyDescent="0.4">
      <c r="A18" s="230"/>
      <c r="B18" s="141" t="s">
        <v>70</v>
      </c>
      <c r="C18" s="330"/>
      <c r="D18" s="106"/>
      <c r="E18" s="107">
        <v>44183.4</v>
      </c>
      <c r="F18" s="122">
        <f t="shared" si="0"/>
        <v>-1</v>
      </c>
      <c r="G18" s="331"/>
      <c r="H18" s="112"/>
      <c r="I18" s="113">
        <v>4769.83</v>
      </c>
      <c r="J18" s="125">
        <f t="shared" si="1"/>
        <v>-1</v>
      </c>
      <c r="K18" s="334"/>
      <c r="L18" s="118"/>
      <c r="M18" s="119">
        <v>2083.5</v>
      </c>
      <c r="N18" s="128">
        <f t="shared" si="2"/>
        <v>-1</v>
      </c>
      <c r="O18" s="335"/>
      <c r="P18" s="136"/>
      <c r="Q18" s="137">
        <v>1.1044</v>
      </c>
      <c r="R18" s="131">
        <f t="shared" si="3"/>
        <v>-1</v>
      </c>
      <c r="S18" s="230"/>
      <c r="T18" s="141" t="s">
        <v>70</v>
      </c>
      <c r="U18" s="330"/>
      <c r="V18" s="106"/>
      <c r="W18" s="107">
        <v>44183.4</v>
      </c>
      <c r="X18" s="122">
        <f t="shared" si="4"/>
        <v>-1</v>
      </c>
      <c r="Y18" s="331"/>
      <c r="Z18" s="112"/>
      <c r="AA18" s="113">
        <v>4769.83</v>
      </c>
      <c r="AB18" s="125">
        <f t="shared" si="5"/>
        <v>-1</v>
      </c>
      <c r="AC18" s="334"/>
      <c r="AD18" s="118"/>
      <c r="AE18" s="119">
        <v>2083.5</v>
      </c>
      <c r="AF18" s="128">
        <f t="shared" si="6"/>
        <v>-1</v>
      </c>
      <c r="AG18" s="335"/>
      <c r="AH18" s="136"/>
      <c r="AI18" s="137">
        <v>1.1044</v>
      </c>
      <c r="AJ18" s="131">
        <f t="shared" si="7"/>
        <v>-1</v>
      </c>
    </row>
    <row r="19" spans="1:36" ht="14.5" customHeight="1" x14ac:dyDescent="0.35">
      <c r="A19" s="227">
        <v>2024</v>
      </c>
      <c r="B19" s="168" t="s">
        <v>71</v>
      </c>
      <c r="C19" s="321" t="s">
        <v>118</v>
      </c>
      <c r="D19" s="102"/>
      <c r="E19" s="103">
        <v>69664.399999999994</v>
      </c>
      <c r="F19" s="120">
        <f t="shared" si="0"/>
        <v>-1</v>
      </c>
      <c r="G19" s="323" t="s">
        <v>118</v>
      </c>
      <c r="H19" s="108"/>
      <c r="I19" s="109">
        <v>5243.77</v>
      </c>
      <c r="J19" s="123">
        <f t="shared" si="1"/>
        <v>-1</v>
      </c>
      <c r="K19" s="325" t="s">
        <v>118</v>
      </c>
      <c r="L19" s="114"/>
      <c r="M19" s="115">
        <v>2245.9</v>
      </c>
      <c r="N19" s="126">
        <f t="shared" si="2"/>
        <v>-1</v>
      </c>
      <c r="O19" s="327" t="s">
        <v>118</v>
      </c>
      <c r="P19" s="132"/>
      <c r="Q19" s="133">
        <v>1.0743</v>
      </c>
      <c r="R19" s="129">
        <f t="shared" si="3"/>
        <v>-1</v>
      </c>
      <c r="S19" s="227">
        <v>2024</v>
      </c>
      <c r="T19" s="168" t="s">
        <v>71</v>
      </c>
      <c r="U19" s="321" t="s">
        <v>118</v>
      </c>
      <c r="V19" s="102"/>
      <c r="W19" s="103">
        <v>69664.399999999994</v>
      </c>
      <c r="X19" s="120">
        <f t="shared" si="4"/>
        <v>-1</v>
      </c>
      <c r="Y19" s="323" t="s">
        <v>118</v>
      </c>
      <c r="Z19" s="108"/>
      <c r="AA19" s="109">
        <v>5243.77</v>
      </c>
      <c r="AB19" s="123">
        <f t="shared" si="5"/>
        <v>-1</v>
      </c>
      <c r="AC19" s="325" t="s">
        <v>118</v>
      </c>
      <c r="AD19" s="114"/>
      <c r="AE19" s="115">
        <v>2245.9</v>
      </c>
      <c r="AF19" s="126">
        <f t="shared" si="6"/>
        <v>-1</v>
      </c>
      <c r="AG19" s="327" t="s">
        <v>118</v>
      </c>
      <c r="AH19" s="132"/>
      <c r="AI19" s="133">
        <v>1.0743</v>
      </c>
      <c r="AJ19" s="129">
        <f t="shared" si="7"/>
        <v>-1</v>
      </c>
    </row>
    <row r="20" spans="1:36" ht="14.5" customHeight="1" x14ac:dyDescent="0.35">
      <c r="A20" s="228"/>
      <c r="B20" s="141" t="s">
        <v>72</v>
      </c>
      <c r="C20" s="329"/>
      <c r="D20" s="104"/>
      <c r="E20" s="105">
        <v>62890.1</v>
      </c>
      <c r="F20" s="121">
        <f t="shared" si="0"/>
        <v>-1</v>
      </c>
      <c r="G20" s="332"/>
      <c r="H20" s="110"/>
      <c r="I20" s="111">
        <v>5475.09</v>
      </c>
      <c r="J20" s="124">
        <f t="shared" si="1"/>
        <v>-1</v>
      </c>
      <c r="K20" s="333"/>
      <c r="L20" s="116"/>
      <c r="M20" s="117">
        <v>2338.9</v>
      </c>
      <c r="N20" s="127">
        <f t="shared" si="2"/>
        <v>-1</v>
      </c>
      <c r="O20" s="336"/>
      <c r="P20" s="134"/>
      <c r="Q20" s="135">
        <v>1.0738000000000001</v>
      </c>
      <c r="R20" s="130">
        <f t="shared" si="3"/>
        <v>-1</v>
      </c>
      <c r="S20" s="228"/>
      <c r="T20" s="141" t="s">
        <v>72</v>
      </c>
      <c r="U20" s="329"/>
      <c r="V20" s="104"/>
      <c r="W20" s="105">
        <v>62890.1</v>
      </c>
      <c r="X20" s="121">
        <f t="shared" si="4"/>
        <v>-1</v>
      </c>
      <c r="Y20" s="332"/>
      <c r="Z20" s="110"/>
      <c r="AA20" s="111">
        <v>5475.09</v>
      </c>
      <c r="AB20" s="124">
        <f t="shared" si="5"/>
        <v>-1</v>
      </c>
      <c r="AC20" s="333"/>
      <c r="AD20" s="116"/>
      <c r="AE20" s="117">
        <v>2338.9</v>
      </c>
      <c r="AF20" s="127">
        <f t="shared" si="6"/>
        <v>-1</v>
      </c>
      <c r="AG20" s="336"/>
      <c r="AH20" s="134"/>
      <c r="AI20" s="135">
        <v>1.0738000000000001</v>
      </c>
      <c r="AJ20" s="130">
        <f t="shared" si="7"/>
        <v>-1</v>
      </c>
    </row>
    <row r="21" spans="1:36" ht="14.5" customHeight="1" x14ac:dyDescent="0.35">
      <c r="A21" s="228"/>
      <c r="B21" s="141" t="s">
        <v>73</v>
      </c>
      <c r="C21" s="322" t="s">
        <v>119</v>
      </c>
      <c r="D21" s="104"/>
      <c r="E21" s="105">
        <v>60835.5</v>
      </c>
      <c r="F21" s="121">
        <f t="shared" si="0"/>
        <v>-1</v>
      </c>
      <c r="G21" s="324" t="s">
        <v>119</v>
      </c>
      <c r="H21" s="110"/>
      <c r="I21" s="111">
        <v>5708.75</v>
      </c>
      <c r="J21" s="124">
        <f t="shared" si="1"/>
        <v>-1</v>
      </c>
      <c r="K21" s="326" t="s">
        <v>119</v>
      </c>
      <c r="L21" s="116"/>
      <c r="M21" s="117">
        <v>2678.5</v>
      </c>
      <c r="N21" s="127">
        <f t="shared" si="2"/>
        <v>-1</v>
      </c>
      <c r="O21" s="328" t="s">
        <v>119</v>
      </c>
      <c r="P21" s="134"/>
      <c r="Q21" s="135">
        <v>1.1067</v>
      </c>
      <c r="R21" s="130">
        <f t="shared" si="3"/>
        <v>-1</v>
      </c>
      <c r="S21" s="228"/>
      <c r="T21" s="141" t="s">
        <v>73</v>
      </c>
      <c r="U21" s="322" t="s">
        <v>119</v>
      </c>
      <c r="V21" s="104"/>
      <c r="W21" s="105">
        <v>60835.5</v>
      </c>
      <c r="X21" s="121">
        <f t="shared" si="4"/>
        <v>-1</v>
      </c>
      <c r="Y21" s="324" t="s">
        <v>119</v>
      </c>
      <c r="Z21" s="110"/>
      <c r="AA21" s="111">
        <v>5708.75</v>
      </c>
      <c r="AB21" s="124">
        <f t="shared" si="5"/>
        <v>-1</v>
      </c>
      <c r="AC21" s="326" t="s">
        <v>119</v>
      </c>
      <c r="AD21" s="116"/>
      <c r="AE21" s="117">
        <v>2678.5</v>
      </c>
      <c r="AF21" s="127">
        <f t="shared" si="6"/>
        <v>-1</v>
      </c>
      <c r="AG21" s="328" t="s">
        <v>119</v>
      </c>
      <c r="AH21" s="134"/>
      <c r="AI21" s="135">
        <v>1.1067</v>
      </c>
      <c r="AJ21" s="130">
        <f t="shared" si="7"/>
        <v>-1</v>
      </c>
    </row>
    <row r="22" spans="1:36" ht="15" customHeight="1" thickBot="1" x14ac:dyDescent="0.4">
      <c r="A22" s="230"/>
      <c r="B22" s="169" t="s">
        <v>74</v>
      </c>
      <c r="C22" s="330"/>
      <c r="D22" s="106"/>
      <c r="E22" s="107">
        <v>94560.2</v>
      </c>
      <c r="F22" s="122">
        <f t="shared" si="0"/>
        <v>-1</v>
      </c>
      <c r="G22" s="331"/>
      <c r="H22" s="112"/>
      <c r="I22" s="113">
        <v>5881.63</v>
      </c>
      <c r="J22" s="125">
        <f t="shared" si="1"/>
        <v>-1</v>
      </c>
      <c r="K22" s="334"/>
      <c r="L22" s="118"/>
      <c r="M22" s="119">
        <v>2618.1</v>
      </c>
      <c r="N22" s="128">
        <f t="shared" si="2"/>
        <v>-1</v>
      </c>
      <c r="O22" s="335"/>
      <c r="P22" s="136"/>
      <c r="Q22" s="137">
        <v>1.0355000000000001</v>
      </c>
      <c r="R22" s="131">
        <f t="shared" si="3"/>
        <v>-1</v>
      </c>
      <c r="S22" s="230"/>
      <c r="T22" s="169" t="s">
        <v>74</v>
      </c>
      <c r="U22" s="330"/>
      <c r="V22" s="106"/>
      <c r="W22" s="107">
        <v>94560.2</v>
      </c>
      <c r="X22" s="122">
        <f t="shared" si="4"/>
        <v>-1</v>
      </c>
      <c r="Y22" s="331"/>
      <c r="Z22" s="112"/>
      <c r="AA22" s="113">
        <v>5881.63</v>
      </c>
      <c r="AB22" s="125">
        <f t="shared" si="5"/>
        <v>-1</v>
      </c>
      <c r="AC22" s="334"/>
      <c r="AD22" s="118"/>
      <c r="AE22" s="119">
        <v>2618.1</v>
      </c>
      <c r="AF22" s="128">
        <f t="shared" si="6"/>
        <v>-1</v>
      </c>
      <c r="AG22" s="335"/>
      <c r="AH22" s="136"/>
      <c r="AI22" s="137">
        <v>1.0355000000000001</v>
      </c>
      <c r="AJ22" s="131">
        <f t="shared" si="7"/>
        <v>-1</v>
      </c>
    </row>
    <row r="23" spans="1:36" ht="14.5" customHeight="1" x14ac:dyDescent="0.35">
      <c r="A23" s="227">
        <v>2025</v>
      </c>
      <c r="B23" s="168" t="s">
        <v>75</v>
      </c>
      <c r="C23" s="321" t="s">
        <v>118</v>
      </c>
      <c r="D23" s="102"/>
      <c r="E23" s="103">
        <v>85164.2</v>
      </c>
      <c r="F23" s="120">
        <f t="shared" si="0"/>
        <v>-1</v>
      </c>
      <c r="G23" s="323" t="s">
        <v>118</v>
      </c>
      <c r="H23" s="108"/>
      <c r="I23" s="109">
        <v>5633.07</v>
      </c>
      <c r="J23" s="123">
        <f t="shared" si="1"/>
        <v>-1</v>
      </c>
      <c r="K23" s="325" t="s">
        <v>118</v>
      </c>
      <c r="L23" s="114"/>
      <c r="M23" s="115">
        <v>3146</v>
      </c>
      <c r="N23" s="126">
        <f t="shared" si="2"/>
        <v>-1</v>
      </c>
      <c r="O23" s="327" t="s">
        <v>118</v>
      </c>
      <c r="P23" s="132"/>
      <c r="Q23" s="133">
        <v>1.0792999999999999</v>
      </c>
      <c r="R23" s="129">
        <f t="shared" si="3"/>
        <v>-1</v>
      </c>
      <c r="S23" s="227">
        <v>2025</v>
      </c>
      <c r="T23" s="168" t="s">
        <v>75</v>
      </c>
      <c r="U23" s="321" t="s">
        <v>118</v>
      </c>
      <c r="V23" s="102"/>
      <c r="W23" s="103">
        <v>85164.2</v>
      </c>
      <c r="X23" s="120">
        <f t="shared" si="4"/>
        <v>-1</v>
      </c>
      <c r="Y23" s="323" t="s">
        <v>118</v>
      </c>
      <c r="Z23" s="108"/>
      <c r="AA23" s="109">
        <v>5633.07</v>
      </c>
      <c r="AB23" s="123">
        <f t="shared" si="5"/>
        <v>-1</v>
      </c>
      <c r="AC23" s="325" t="s">
        <v>118</v>
      </c>
      <c r="AD23" s="114"/>
      <c r="AE23" s="115">
        <v>3146</v>
      </c>
      <c r="AF23" s="126">
        <f t="shared" si="6"/>
        <v>-1</v>
      </c>
      <c r="AG23" s="327" t="s">
        <v>118</v>
      </c>
      <c r="AH23" s="132"/>
      <c r="AI23" s="133">
        <v>1.0792999999999999</v>
      </c>
      <c r="AJ23" s="129">
        <f t="shared" si="7"/>
        <v>-1</v>
      </c>
    </row>
    <row r="24" spans="1:36" ht="14.5" customHeight="1" x14ac:dyDescent="0.35">
      <c r="A24" s="228"/>
      <c r="B24" s="141" t="s">
        <v>76</v>
      </c>
      <c r="C24" s="329"/>
      <c r="D24" s="104"/>
      <c r="E24" s="105">
        <v>105694.3</v>
      </c>
      <c r="F24" s="121">
        <f t="shared" si="0"/>
        <v>-1</v>
      </c>
      <c r="G24" s="332"/>
      <c r="H24" s="110"/>
      <c r="I24" s="111">
        <v>6198.01</v>
      </c>
      <c r="J24" s="124">
        <f t="shared" si="1"/>
        <v>-1</v>
      </c>
      <c r="K24" s="333"/>
      <c r="L24" s="116"/>
      <c r="M24" s="117">
        <v>3349.8</v>
      </c>
      <c r="N24" s="127">
        <f t="shared" si="2"/>
        <v>-1</v>
      </c>
      <c r="O24" s="336"/>
      <c r="P24" s="134"/>
      <c r="Q24" s="135">
        <v>1.1807000000000001</v>
      </c>
      <c r="R24" s="130">
        <f t="shared" si="3"/>
        <v>-1</v>
      </c>
      <c r="S24" s="228"/>
      <c r="T24" s="141" t="s">
        <v>76</v>
      </c>
      <c r="U24" s="329"/>
      <c r="V24" s="104"/>
      <c r="W24" s="105">
        <v>105694.3</v>
      </c>
      <c r="X24" s="121">
        <f t="shared" si="4"/>
        <v>-1</v>
      </c>
      <c r="Y24" s="332"/>
      <c r="Z24" s="110"/>
      <c r="AA24" s="111">
        <v>6198.01</v>
      </c>
      <c r="AB24" s="124">
        <f t="shared" si="5"/>
        <v>-1</v>
      </c>
      <c r="AC24" s="333"/>
      <c r="AD24" s="116"/>
      <c r="AE24" s="117">
        <v>3349.8</v>
      </c>
      <c r="AF24" s="127">
        <f t="shared" si="6"/>
        <v>-1</v>
      </c>
      <c r="AG24" s="336"/>
      <c r="AH24" s="134"/>
      <c r="AI24" s="135">
        <v>1.1807000000000001</v>
      </c>
      <c r="AJ24" s="130">
        <f t="shared" si="7"/>
        <v>-1</v>
      </c>
    </row>
    <row r="25" spans="1:36" ht="14.5" customHeight="1" x14ac:dyDescent="0.35">
      <c r="A25" s="228"/>
      <c r="B25" s="141" t="s">
        <v>77</v>
      </c>
      <c r="C25" s="322" t="s">
        <v>119</v>
      </c>
      <c r="D25" s="104"/>
      <c r="E25" s="105">
        <v>118576.2</v>
      </c>
      <c r="F25" s="121">
        <f t="shared" si="0"/>
        <v>-1</v>
      </c>
      <c r="G25" s="324" t="s">
        <v>119</v>
      </c>
      <c r="H25" s="110"/>
      <c r="I25" s="111">
        <v>6711.2</v>
      </c>
      <c r="J25" s="124">
        <f t="shared" si="1"/>
        <v>-1</v>
      </c>
      <c r="K25" s="326" t="s">
        <v>119</v>
      </c>
      <c r="L25" s="116"/>
      <c r="M25" s="117">
        <v>3897.5</v>
      </c>
      <c r="N25" s="127">
        <f t="shared" si="2"/>
        <v>-1</v>
      </c>
      <c r="O25" s="328" t="s">
        <v>119</v>
      </c>
      <c r="P25" s="134"/>
      <c r="Q25" s="135">
        <v>1.173</v>
      </c>
      <c r="R25" s="130">
        <f t="shared" si="3"/>
        <v>-1</v>
      </c>
      <c r="S25" s="228"/>
      <c r="T25" s="141" t="s">
        <v>77</v>
      </c>
      <c r="U25" s="322" t="s">
        <v>119</v>
      </c>
      <c r="V25" s="104"/>
      <c r="W25" s="105">
        <v>118576.2</v>
      </c>
      <c r="X25" s="121">
        <f t="shared" si="4"/>
        <v>-1</v>
      </c>
      <c r="Y25" s="324" t="s">
        <v>119</v>
      </c>
      <c r="Z25" s="110"/>
      <c r="AA25" s="111">
        <v>6711.2</v>
      </c>
      <c r="AB25" s="124">
        <f t="shared" si="5"/>
        <v>-1</v>
      </c>
      <c r="AC25" s="326" t="s">
        <v>119</v>
      </c>
      <c r="AD25" s="116"/>
      <c r="AE25" s="117">
        <v>3897.5</v>
      </c>
      <c r="AF25" s="127">
        <f t="shared" si="6"/>
        <v>-1</v>
      </c>
      <c r="AG25" s="328" t="s">
        <v>119</v>
      </c>
      <c r="AH25" s="134"/>
      <c r="AI25" s="135">
        <v>1.173</v>
      </c>
      <c r="AJ25" s="130">
        <f t="shared" si="7"/>
        <v>-1</v>
      </c>
    </row>
    <row r="26" spans="1:36" ht="15" customHeight="1" thickBot="1" x14ac:dyDescent="0.4">
      <c r="A26" s="230"/>
      <c r="B26" s="141" t="s">
        <v>78</v>
      </c>
      <c r="C26" s="330"/>
      <c r="D26" s="106"/>
      <c r="E26" s="107">
        <v>88812.1</v>
      </c>
      <c r="F26" s="122">
        <f t="shared" si="0"/>
        <v>-1</v>
      </c>
      <c r="G26" s="331"/>
      <c r="H26" s="112"/>
      <c r="I26" s="113">
        <v>6845.5</v>
      </c>
      <c r="J26" s="125">
        <f t="shared" si="1"/>
        <v>-1</v>
      </c>
      <c r="K26" s="334"/>
      <c r="L26" s="118"/>
      <c r="M26" s="119">
        <v>4361.55</v>
      </c>
      <c r="N26" s="128">
        <f t="shared" si="2"/>
        <v>-1</v>
      </c>
      <c r="O26" s="335"/>
      <c r="P26" s="136"/>
      <c r="Q26" s="137">
        <v>1.1746000000000001</v>
      </c>
      <c r="R26" s="131">
        <f t="shared" si="3"/>
        <v>-1</v>
      </c>
      <c r="S26" s="230"/>
      <c r="T26" s="141" t="s">
        <v>78</v>
      </c>
      <c r="U26" s="330"/>
      <c r="V26" s="106"/>
      <c r="W26" s="107">
        <v>88812.1</v>
      </c>
      <c r="X26" s="122">
        <f t="shared" si="4"/>
        <v>-1</v>
      </c>
      <c r="Y26" s="331"/>
      <c r="Z26" s="112"/>
      <c r="AA26" s="113">
        <v>6845.5</v>
      </c>
      <c r="AB26" s="125">
        <f t="shared" si="5"/>
        <v>-1</v>
      </c>
      <c r="AC26" s="334"/>
      <c r="AD26" s="118"/>
      <c r="AE26" s="119">
        <v>4361.55</v>
      </c>
      <c r="AF26" s="128">
        <f t="shared" si="6"/>
        <v>-1</v>
      </c>
      <c r="AG26" s="335"/>
      <c r="AH26" s="136"/>
      <c r="AI26" s="137">
        <v>1.1746000000000001</v>
      </c>
      <c r="AJ26" s="131">
        <f t="shared" si="7"/>
        <v>-1</v>
      </c>
    </row>
    <row r="27" spans="1:36" ht="14.5" customHeight="1" x14ac:dyDescent="0.35">
      <c r="A27" s="227">
        <v>2026</v>
      </c>
      <c r="B27" s="168" t="s">
        <v>79</v>
      </c>
      <c r="C27" s="321" t="s">
        <v>118</v>
      </c>
      <c r="D27" s="102"/>
      <c r="E27" s="103"/>
      <c r="F27" s="120" t="e">
        <f t="shared" si="0"/>
        <v>#DIV/0!</v>
      </c>
      <c r="G27" s="323" t="s">
        <v>118</v>
      </c>
      <c r="H27" s="108"/>
      <c r="I27" s="109"/>
      <c r="J27" s="123" t="e">
        <f t="shared" si="1"/>
        <v>#DIV/0!</v>
      </c>
      <c r="K27" s="325" t="s">
        <v>118</v>
      </c>
      <c r="L27" s="114"/>
      <c r="M27" s="115"/>
      <c r="N27" s="126" t="e">
        <f t="shared" si="2"/>
        <v>#DIV/0!</v>
      </c>
      <c r="O27" s="327" t="s">
        <v>118</v>
      </c>
      <c r="P27" s="132"/>
      <c r="Q27" s="133"/>
      <c r="R27" s="129" t="e">
        <f t="shared" si="3"/>
        <v>#DIV/0!</v>
      </c>
      <c r="S27" s="227">
        <v>2026</v>
      </c>
      <c r="T27" s="168" t="s">
        <v>79</v>
      </c>
      <c r="U27" s="321" t="s">
        <v>118</v>
      </c>
      <c r="V27" s="102"/>
      <c r="W27" s="103"/>
      <c r="X27" s="120" t="e">
        <f t="shared" si="4"/>
        <v>#DIV/0!</v>
      </c>
      <c r="Y27" s="323" t="s">
        <v>118</v>
      </c>
      <c r="Z27" s="108"/>
      <c r="AA27" s="109"/>
      <c r="AB27" s="123" t="e">
        <f t="shared" si="5"/>
        <v>#DIV/0!</v>
      </c>
      <c r="AC27" s="325" t="s">
        <v>118</v>
      </c>
      <c r="AD27" s="114"/>
      <c r="AE27" s="115"/>
      <c r="AF27" s="126" t="e">
        <f t="shared" si="6"/>
        <v>#DIV/0!</v>
      </c>
      <c r="AG27" s="327" t="s">
        <v>118</v>
      </c>
      <c r="AH27" s="132"/>
      <c r="AI27" s="133"/>
      <c r="AJ27" s="129" t="e">
        <f t="shared" si="7"/>
        <v>#DIV/0!</v>
      </c>
    </row>
    <row r="28" spans="1:36" ht="14.5" customHeight="1" x14ac:dyDescent="0.35">
      <c r="A28" s="228"/>
      <c r="B28" s="141" t="s">
        <v>80</v>
      </c>
      <c r="C28" s="329"/>
      <c r="D28" s="104"/>
      <c r="E28" s="105"/>
      <c r="F28" s="121" t="e">
        <f t="shared" si="0"/>
        <v>#DIV/0!</v>
      </c>
      <c r="G28" s="332"/>
      <c r="H28" s="110"/>
      <c r="I28" s="111"/>
      <c r="J28" s="124" t="e">
        <f t="shared" si="1"/>
        <v>#DIV/0!</v>
      </c>
      <c r="K28" s="333"/>
      <c r="L28" s="116"/>
      <c r="M28" s="117"/>
      <c r="N28" s="127" t="e">
        <f t="shared" si="2"/>
        <v>#DIV/0!</v>
      </c>
      <c r="O28" s="336"/>
      <c r="P28" s="134"/>
      <c r="Q28" s="135"/>
      <c r="R28" s="130" t="e">
        <f t="shared" si="3"/>
        <v>#DIV/0!</v>
      </c>
      <c r="S28" s="228"/>
      <c r="T28" s="141" t="s">
        <v>80</v>
      </c>
      <c r="U28" s="329"/>
      <c r="V28" s="104"/>
      <c r="W28" s="105"/>
      <c r="X28" s="121" t="e">
        <f t="shared" si="4"/>
        <v>#DIV/0!</v>
      </c>
      <c r="Y28" s="332"/>
      <c r="Z28" s="110"/>
      <c r="AA28" s="111"/>
      <c r="AB28" s="124" t="e">
        <f t="shared" si="5"/>
        <v>#DIV/0!</v>
      </c>
      <c r="AC28" s="333"/>
      <c r="AD28" s="116"/>
      <c r="AE28" s="117"/>
      <c r="AF28" s="127" t="e">
        <f t="shared" si="6"/>
        <v>#DIV/0!</v>
      </c>
      <c r="AG28" s="336"/>
      <c r="AH28" s="134"/>
      <c r="AI28" s="135"/>
      <c r="AJ28" s="130" t="e">
        <f t="shared" si="7"/>
        <v>#DIV/0!</v>
      </c>
    </row>
    <row r="29" spans="1:36" ht="14.5" customHeight="1" x14ac:dyDescent="0.35">
      <c r="A29" s="228"/>
      <c r="B29" s="141" t="s">
        <v>81</v>
      </c>
      <c r="C29" s="322" t="s">
        <v>119</v>
      </c>
      <c r="D29" s="104"/>
      <c r="E29" s="105"/>
      <c r="F29" s="121" t="e">
        <f t="shared" si="0"/>
        <v>#DIV/0!</v>
      </c>
      <c r="G29" s="324" t="s">
        <v>119</v>
      </c>
      <c r="H29" s="110"/>
      <c r="I29" s="111"/>
      <c r="J29" s="124" t="e">
        <f t="shared" si="1"/>
        <v>#DIV/0!</v>
      </c>
      <c r="K29" s="326" t="s">
        <v>119</v>
      </c>
      <c r="L29" s="116"/>
      <c r="M29" s="117"/>
      <c r="N29" s="127" t="e">
        <f t="shared" si="2"/>
        <v>#DIV/0!</v>
      </c>
      <c r="O29" s="328" t="s">
        <v>119</v>
      </c>
      <c r="P29" s="134"/>
      <c r="Q29" s="135"/>
      <c r="R29" s="130" t="e">
        <f t="shared" si="3"/>
        <v>#DIV/0!</v>
      </c>
      <c r="S29" s="228"/>
      <c r="T29" s="141" t="s">
        <v>81</v>
      </c>
      <c r="U29" s="322" t="s">
        <v>119</v>
      </c>
      <c r="V29" s="104"/>
      <c r="W29" s="105"/>
      <c r="X29" s="121" t="e">
        <f t="shared" si="4"/>
        <v>#DIV/0!</v>
      </c>
      <c r="Y29" s="324" t="s">
        <v>119</v>
      </c>
      <c r="Z29" s="110"/>
      <c r="AA29" s="111"/>
      <c r="AB29" s="124" t="e">
        <f t="shared" si="5"/>
        <v>#DIV/0!</v>
      </c>
      <c r="AC29" s="326" t="s">
        <v>119</v>
      </c>
      <c r="AD29" s="116"/>
      <c r="AE29" s="117"/>
      <c r="AF29" s="127" t="e">
        <f t="shared" si="6"/>
        <v>#DIV/0!</v>
      </c>
      <c r="AG29" s="328" t="s">
        <v>119</v>
      </c>
      <c r="AH29" s="134"/>
      <c r="AI29" s="135"/>
      <c r="AJ29" s="130" t="e">
        <f t="shared" si="7"/>
        <v>#DIV/0!</v>
      </c>
    </row>
    <row r="30" spans="1:36" ht="15" customHeight="1" thickBot="1" x14ac:dyDescent="0.4">
      <c r="A30" s="229"/>
      <c r="B30" s="143" t="s">
        <v>82</v>
      </c>
      <c r="C30" s="330"/>
      <c r="D30" s="106"/>
      <c r="E30" s="107"/>
      <c r="F30" s="122" t="e">
        <f t="shared" si="0"/>
        <v>#DIV/0!</v>
      </c>
      <c r="G30" s="331"/>
      <c r="H30" s="112"/>
      <c r="I30" s="113"/>
      <c r="J30" s="125" t="e">
        <f t="shared" si="1"/>
        <v>#DIV/0!</v>
      </c>
      <c r="K30" s="334"/>
      <c r="L30" s="118"/>
      <c r="M30" s="119"/>
      <c r="N30" s="128" t="e">
        <f t="shared" si="2"/>
        <v>#DIV/0!</v>
      </c>
      <c r="O30" s="335"/>
      <c r="P30" s="136"/>
      <c r="Q30" s="137"/>
      <c r="R30" s="131" t="e">
        <f t="shared" si="3"/>
        <v>#DIV/0!</v>
      </c>
      <c r="S30" s="229"/>
      <c r="T30" s="143" t="s">
        <v>82</v>
      </c>
      <c r="U30" s="330"/>
      <c r="V30" s="106"/>
      <c r="W30" s="107"/>
      <c r="X30" s="122" t="e">
        <f t="shared" si="4"/>
        <v>#DIV/0!</v>
      </c>
      <c r="Y30" s="331"/>
      <c r="Z30" s="112"/>
      <c r="AA30" s="113"/>
      <c r="AB30" s="125" t="e">
        <f t="shared" si="5"/>
        <v>#DIV/0!</v>
      </c>
      <c r="AC30" s="334"/>
      <c r="AD30" s="118"/>
      <c r="AE30" s="119"/>
      <c r="AF30" s="128" t="e">
        <f t="shared" si="6"/>
        <v>#DIV/0!</v>
      </c>
      <c r="AG30" s="335"/>
      <c r="AH30" s="136"/>
      <c r="AI30" s="137"/>
      <c r="AJ30" s="131" t="e">
        <f t="shared" si="7"/>
        <v>#DIV/0!</v>
      </c>
    </row>
    <row r="31" spans="1:36" x14ac:dyDescent="0.35">
      <c r="E31" t="s">
        <v>109</v>
      </c>
      <c r="F31" s="121" cm="1">
        <f t="array" ref="F31">AVERAGE(ABS(F3:F26))</f>
        <v>1</v>
      </c>
      <c r="I31" t="s">
        <v>109</v>
      </c>
      <c r="J31" s="124" cm="1">
        <f t="array" ref="J31">AVERAGE(ABS(J3:J26))</f>
        <v>1</v>
      </c>
      <c r="M31" t="s">
        <v>109</v>
      </c>
      <c r="N31" s="127" cm="1">
        <f t="array" ref="N31">AVERAGE(ABS(N3:N26))</f>
        <v>1</v>
      </c>
      <c r="Q31" t="s">
        <v>109</v>
      </c>
      <c r="R31" s="130" cm="1">
        <f t="array" ref="R31">AVERAGE(ABS(R3:R26))</f>
        <v>1</v>
      </c>
      <c r="W31" t="s">
        <v>109</v>
      </c>
      <c r="X31" s="121" cm="1">
        <f t="array" ref="X31">AVERAGE(ABS(X3:X26))</f>
        <v>1</v>
      </c>
      <c r="AA31" t="s">
        <v>109</v>
      </c>
      <c r="AB31" s="124" cm="1">
        <f t="array" ref="AB31">AVERAGE(ABS(AB3:AB26))</f>
        <v>1</v>
      </c>
      <c r="AE31" t="s">
        <v>109</v>
      </c>
      <c r="AF31" s="127" cm="1">
        <f t="array" ref="AF31">AVERAGE(ABS(AF3:AF26))</f>
        <v>1</v>
      </c>
      <c r="AI31" t="s">
        <v>109</v>
      </c>
      <c r="AJ31" s="130" cm="1">
        <f t="array" ref="AJ31">AVERAGE(ABS(AJ3:AJ26))</f>
        <v>1</v>
      </c>
    </row>
  </sheetData>
  <mergeCells count="26">
    <mergeCell ref="A2:B2"/>
    <mergeCell ref="A1:B1"/>
    <mergeCell ref="C1:F1"/>
    <mergeCell ref="G1:J1"/>
    <mergeCell ref="K1:N1"/>
    <mergeCell ref="O1:R1"/>
    <mergeCell ref="A7:A10"/>
    <mergeCell ref="A3:A6"/>
    <mergeCell ref="A15:A18"/>
    <mergeCell ref="A11:A14"/>
    <mergeCell ref="A23:A26"/>
    <mergeCell ref="A19:A22"/>
    <mergeCell ref="A27:A30"/>
    <mergeCell ref="S3:S6"/>
    <mergeCell ref="U1:X1"/>
    <mergeCell ref="Y1:AB1"/>
    <mergeCell ref="AC1:AF1"/>
    <mergeCell ref="AG1:AJ1"/>
    <mergeCell ref="S2:T2"/>
    <mergeCell ref="S1:T1"/>
    <mergeCell ref="S11:S14"/>
    <mergeCell ref="S7:S10"/>
    <mergeCell ref="S19:S22"/>
    <mergeCell ref="S15:S18"/>
    <mergeCell ref="S27:S30"/>
    <mergeCell ref="S23:S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7"/>
  <sheetViews>
    <sheetView zoomScale="51" workbookViewId="0">
      <selection activeCell="D19" sqref="D19"/>
    </sheetView>
  </sheetViews>
  <sheetFormatPr defaultRowHeight="14.5" x14ac:dyDescent="0.35"/>
  <cols>
    <col min="1" max="1" width="11.36328125" customWidth="1"/>
    <col min="2" max="2" width="13" customWidth="1"/>
    <col min="3" max="3" width="9.7265625" customWidth="1"/>
    <col min="4" max="4" width="10.7265625" customWidth="1"/>
    <col min="5" max="5" width="11.81640625" customWidth="1"/>
    <col min="13" max="13" width="9.90625" customWidth="1"/>
    <col min="15" max="15" width="9.90625" customWidth="1"/>
    <col min="16" max="16" width="10.08984375" customWidth="1"/>
    <col min="27" max="27" width="9.08984375" customWidth="1"/>
    <col min="28" max="28" width="9.90625" bestFit="1" customWidth="1"/>
    <col min="32" max="32" width="11.453125" customWidth="1"/>
    <col min="39" max="40" width="9.1796875" customWidth="1"/>
    <col min="49" max="49" width="10.26953125" bestFit="1" customWidth="1"/>
    <col min="51" max="51" width="10.54296875" customWidth="1"/>
    <col min="52" max="52" width="10.6328125" customWidth="1"/>
  </cols>
  <sheetData>
    <row r="1" spans="1:62" x14ac:dyDescent="0.35">
      <c r="A1" s="284" t="s">
        <v>0</v>
      </c>
      <c r="B1" s="285"/>
      <c r="C1" s="278" t="s">
        <v>44</v>
      </c>
      <c r="D1" s="279"/>
      <c r="E1" s="279"/>
      <c r="F1" s="279"/>
      <c r="G1" s="279"/>
      <c r="H1" s="279"/>
      <c r="I1" s="279"/>
      <c r="J1" s="279"/>
      <c r="K1" s="279"/>
      <c r="L1" s="279"/>
      <c r="M1" s="279"/>
      <c r="N1" s="280"/>
      <c r="O1" s="281" t="s">
        <v>45</v>
      </c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3"/>
      <c r="AA1" s="292" t="s">
        <v>43</v>
      </c>
      <c r="AB1" s="293"/>
      <c r="AC1" s="293"/>
      <c r="AD1" s="293"/>
      <c r="AE1" s="293"/>
      <c r="AF1" s="293"/>
      <c r="AG1" s="293"/>
      <c r="AH1" s="293"/>
      <c r="AI1" s="293"/>
      <c r="AJ1" s="293"/>
      <c r="AK1" s="293"/>
      <c r="AL1" s="294"/>
      <c r="AM1" s="305" t="s">
        <v>47</v>
      </c>
      <c r="AN1" s="306"/>
      <c r="AO1" s="306"/>
      <c r="AP1" s="306"/>
      <c r="AQ1" s="306"/>
      <c r="AR1" s="306"/>
      <c r="AS1" s="306"/>
      <c r="AT1" s="306"/>
      <c r="AU1" s="306"/>
      <c r="AV1" s="306"/>
      <c r="AW1" s="306"/>
      <c r="AX1" s="307"/>
      <c r="AY1" s="313" t="s">
        <v>46</v>
      </c>
      <c r="AZ1" s="314"/>
      <c r="BA1" s="314"/>
      <c r="BB1" s="314"/>
      <c r="BC1" s="314"/>
      <c r="BD1" s="314"/>
      <c r="BE1" s="314"/>
      <c r="BF1" s="314"/>
      <c r="BG1" s="314"/>
      <c r="BH1" s="314"/>
      <c r="BI1" s="314"/>
      <c r="BJ1" s="315"/>
    </row>
    <row r="2" spans="1:62" x14ac:dyDescent="0.35">
      <c r="A2" s="284" t="s">
        <v>37</v>
      </c>
      <c r="B2" s="285"/>
      <c r="C2" s="291" t="s">
        <v>35</v>
      </c>
      <c r="D2" s="287"/>
      <c r="E2" s="287"/>
      <c r="F2" s="286" t="s">
        <v>36</v>
      </c>
      <c r="G2" s="287"/>
      <c r="H2" s="288"/>
      <c r="I2" s="286" t="s">
        <v>38</v>
      </c>
      <c r="J2" s="287"/>
      <c r="K2" s="288"/>
      <c r="L2" s="286" t="s">
        <v>39</v>
      </c>
      <c r="M2" s="287"/>
      <c r="N2" s="289"/>
      <c r="O2" s="290" t="s">
        <v>35</v>
      </c>
      <c r="P2" s="275"/>
      <c r="Q2" s="276"/>
      <c r="R2" s="274" t="s">
        <v>36</v>
      </c>
      <c r="S2" s="275"/>
      <c r="T2" s="276"/>
      <c r="U2" s="274" t="s">
        <v>38</v>
      </c>
      <c r="V2" s="275"/>
      <c r="W2" s="276"/>
      <c r="X2" s="274" t="s">
        <v>39</v>
      </c>
      <c r="Y2" s="275"/>
      <c r="Z2" s="277"/>
      <c r="AA2" s="295" t="s">
        <v>35</v>
      </c>
      <c r="AB2" s="296"/>
      <c r="AC2" s="297"/>
      <c r="AD2" s="298" t="s">
        <v>36</v>
      </c>
      <c r="AE2" s="296"/>
      <c r="AF2" s="297"/>
      <c r="AG2" s="298" t="s">
        <v>38</v>
      </c>
      <c r="AH2" s="296"/>
      <c r="AI2" s="297"/>
      <c r="AJ2" s="298" t="s">
        <v>39</v>
      </c>
      <c r="AK2" s="296"/>
      <c r="AL2" s="299"/>
      <c r="AM2" s="308" t="s">
        <v>35</v>
      </c>
      <c r="AN2" s="309"/>
      <c r="AO2" s="310"/>
      <c r="AP2" s="311" t="s">
        <v>36</v>
      </c>
      <c r="AQ2" s="309"/>
      <c r="AR2" s="310"/>
      <c r="AS2" s="311" t="s">
        <v>38</v>
      </c>
      <c r="AT2" s="309"/>
      <c r="AU2" s="310"/>
      <c r="AV2" s="311" t="s">
        <v>39</v>
      </c>
      <c r="AW2" s="309"/>
      <c r="AX2" s="312"/>
      <c r="AY2" s="316" t="s">
        <v>35</v>
      </c>
      <c r="AZ2" s="317"/>
      <c r="BA2" s="318"/>
      <c r="BB2" s="319" t="s">
        <v>36</v>
      </c>
      <c r="BC2" s="317"/>
      <c r="BD2" s="318"/>
      <c r="BE2" s="319" t="s">
        <v>38</v>
      </c>
      <c r="BF2" s="317"/>
      <c r="BG2" s="318"/>
      <c r="BH2" s="319" t="s">
        <v>39</v>
      </c>
      <c r="BI2" s="317"/>
      <c r="BJ2" s="320"/>
    </row>
    <row r="3" spans="1:62" ht="15" thickBot="1" x14ac:dyDescent="0.4">
      <c r="A3" s="303" t="s">
        <v>1</v>
      </c>
      <c r="B3" s="304"/>
      <c r="C3" s="4" t="s">
        <v>8</v>
      </c>
      <c r="D3" s="5" t="s">
        <v>9</v>
      </c>
      <c r="E3" s="5" t="s">
        <v>10</v>
      </c>
      <c r="F3" s="6" t="s">
        <v>8</v>
      </c>
      <c r="G3" s="5" t="s">
        <v>9</v>
      </c>
      <c r="H3" s="7" t="s">
        <v>10</v>
      </c>
      <c r="I3" s="6" t="s">
        <v>8</v>
      </c>
      <c r="J3" s="5" t="s">
        <v>9</v>
      </c>
      <c r="K3" s="7" t="s">
        <v>10</v>
      </c>
      <c r="L3" s="6" t="s">
        <v>8</v>
      </c>
      <c r="M3" s="5" t="s">
        <v>9</v>
      </c>
      <c r="N3" s="8" t="s">
        <v>10</v>
      </c>
      <c r="O3" s="9" t="s">
        <v>8</v>
      </c>
      <c r="P3" s="10" t="s">
        <v>9</v>
      </c>
      <c r="Q3" s="11" t="s">
        <v>10</v>
      </c>
      <c r="R3" s="12" t="s">
        <v>8</v>
      </c>
      <c r="S3" s="10" t="s">
        <v>9</v>
      </c>
      <c r="T3" s="11" t="s">
        <v>10</v>
      </c>
      <c r="U3" s="12" t="s">
        <v>8</v>
      </c>
      <c r="V3" s="10" t="s">
        <v>9</v>
      </c>
      <c r="W3" s="11" t="s">
        <v>10</v>
      </c>
      <c r="X3" s="12" t="s">
        <v>8</v>
      </c>
      <c r="Y3" s="10" t="s">
        <v>9</v>
      </c>
      <c r="Z3" s="13" t="s">
        <v>10</v>
      </c>
      <c r="AA3" s="14" t="s">
        <v>8</v>
      </c>
      <c r="AB3" s="15" t="s">
        <v>9</v>
      </c>
      <c r="AC3" s="16" t="s">
        <v>10</v>
      </c>
      <c r="AD3" s="17" t="s">
        <v>8</v>
      </c>
      <c r="AE3" s="15" t="s">
        <v>9</v>
      </c>
      <c r="AF3" s="16" t="s">
        <v>10</v>
      </c>
      <c r="AG3" s="17" t="s">
        <v>8</v>
      </c>
      <c r="AH3" s="15" t="s">
        <v>9</v>
      </c>
      <c r="AI3" s="16" t="s">
        <v>10</v>
      </c>
      <c r="AJ3" s="17" t="s">
        <v>8</v>
      </c>
      <c r="AK3" s="15" t="s">
        <v>9</v>
      </c>
      <c r="AL3" s="18" t="s">
        <v>10</v>
      </c>
      <c r="AM3" s="45" t="s">
        <v>8</v>
      </c>
      <c r="AN3" s="46" t="s">
        <v>9</v>
      </c>
      <c r="AO3" s="47" t="s">
        <v>10</v>
      </c>
      <c r="AP3" s="48" t="s">
        <v>8</v>
      </c>
      <c r="AQ3" s="46" t="s">
        <v>9</v>
      </c>
      <c r="AR3" s="47" t="s">
        <v>10</v>
      </c>
      <c r="AS3" s="48" t="s">
        <v>8</v>
      </c>
      <c r="AT3" s="46" t="s">
        <v>9</v>
      </c>
      <c r="AU3" s="47" t="s">
        <v>10</v>
      </c>
      <c r="AV3" s="48" t="s">
        <v>8</v>
      </c>
      <c r="AW3" s="46" t="s">
        <v>9</v>
      </c>
      <c r="AX3" s="49" t="s">
        <v>10</v>
      </c>
      <c r="AY3" s="40" t="s">
        <v>8</v>
      </c>
      <c r="AZ3" s="41" t="s">
        <v>9</v>
      </c>
      <c r="BA3" s="42" t="s">
        <v>10</v>
      </c>
      <c r="BB3" s="43" t="s">
        <v>8</v>
      </c>
      <c r="BC3" s="41" t="s">
        <v>9</v>
      </c>
      <c r="BD3" s="42" t="s">
        <v>10</v>
      </c>
      <c r="BE3" s="43" t="s">
        <v>8</v>
      </c>
      <c r="BF3" s="41" t="s">
        <v>9</v>
      </c>
      <c r="BG3" s="42" t="s">
        <v>10</v>
      </c>
      <c r="BH3" s="43" t="s">
        <v>8</v>
      </c>
      <c r="BI3" s="41" t="s">
        <v>9</v>
      </c>
      <c r="BJ3" s="44" t="s">
        <v>10</v>
      </c>
    </row>
    <row r="4" spans="1:62" x14ac:dyDescent="0.35">
      <c r="A4" s="300" t="s">
        <v>2</v>
      </c>
      <c r="B4" s="1" t="s">
        <v>11</v>
      </c>
      <c r="C4" s="50">
        <v>6638.5</v>
      </c>
      <c r="D4" s="51">
        <v>9740.23</v>
      </c>
      <c r="E4" s="19">
        <f>(D4-C4)/C4</f>
        <v>0.46723356179859904</v>
      </c>
      <c r="F4" s="59">
        <v>2470.5</v>
      </c>
      <c r="G4" s="60">
        <v>3262.72</v>
      </c>
      <c r="H4" s="23">
        <f>(G4-F4)/F4</f>
        <v>0.32067192875936035</v>
      </c>
      <c r="I4" s="68">
        <v>1584.1</v>
      </c>
      <c r="J4" s="69">
        <v>1555.1</v>
      </c>
      <c r="K4" s="27">
        <f>(J4-I4)/I4</f>
        <v>-1.8306925067861878E-2</v>
      </c>
      <c r="L4" s="77">
        <v>1.0962000000000001</v>
      </c>
      <c r="M4" s="78">
        <v>1.1222000000000001</v>
      </c>
      <c r="N4" s="31">
        <f>(M4-L4)/L4</f>
        <v>2.3718299580368564E-2</v>
      </c>
      <c r="O4" s="50">
        <v>6638.5</v>
      </c>
      <c r="P4" s="51">
        <v>6349.5</v>
      </c>
      <c r="Q4" s="19">
        <f>(P4-O4)/O4</f>
        <v>-4.353393085787452E-2</v>
      </c>
      <c r="R4" s="59">
        <v>2470.5</v>
      </c>
      <c r="S4" s="60">
        <v>2589.6999999999998</v>
      </c>
      <c r="T4" s="23">
        <f>(S4-R4)/R4</f>
        <v>4.8249342238413206E-2</v>
      </c>
      <c r="U4" s="68">
        <v>1584.1</v>
      </c>
      <c r="V4" s="69">
        <v>1590.01</v>
      </c>
      <c r="W4" s="27">
        <f>(V4-U4)/U4</f>
        <v>3.7308250741746622E-3</v>
      </c>
      <c r="X4" s="77">
        <v>1.0962000000000001</v>
      </c>
      <c r="Y4" s="78">
        <v>1.1028</v>
      </c>
      <c r="Z4" s="36">
        <f>(Y4-X4)/X4</f>
        <v>6.0207991242473445E-3</v>
      </c>
      <c r="AA4" s="50">
        <v>6638.5</v>
      </c>
      <c r="AB4" s="51">
        <v>9667.06</v>
      </c>
      <c r="AC4" s="19">
        <f>(AB4-AA4)/AA4</f>
        <v>0.45621149356029217</v>
      </c>
      <c r="AD4" s="59">
        <v>2470.5</v>
      </c>
      <c r="AE4" s="60">
        <v>3268.96</v>
      </c>
      <c r="AF4" s="23">
        <f>(AE4-AD4)/AD4</f>
        <v>0.32319773325237805</v>
      </c>
      <c r="AG4" s="68">
        <v>1584.1</v>
      </c>
      <c r="AH4" s="69">
        <v>1555.55</v>
      </c>
      <c r="AI4" s="27">
        <f>(AH4-AG4)/AG4</f>
        <v>-1.8022852092670891E-2</v>
      </c>
      <c r="AJ4" s="77">
        <v>1.0962000000000001</v>
      </c>
      <c r="AK4" s="78">
        <v>1.1221000000000001</v>
      </c>
      <c r="AL4" s="36">
        <f>(AK4-AJ4)/AJ4</f>
        <v>2.3627075351213313E-2</v>
      </c>
      <c r="AM4" s="50">
        <v>6638.5</v>
      </c>
      <c r="AN4" s="51">
        <v>6461.44</v>
      </c>
      <c r="AO4" s="19">
        <f>(AN4-AM4)/AM4</f>
        <v>-2.6671687881298548E-2</v>
      </c>
      <c r="AP4" s="59">
        <v>2470.5</v>
      </c>
      <c r="AQ4" s="60">
        <v>2599.59</v>
      </c>
      <c r="AR4" s="23">
        <f>(AQ4-AP4)/AP4</f>
        <v>5.2252580449301818E-2</v>
      </c>
      <c r="AS4" s="68">
        <v>1584.1</v>
      </c>
      <c r="AT4" s="69">
        <v>1589.76</v>
      </c>
      <c r="AU4" s="27">
        <f>(AT4-AS4)/AS4</f>
        <v>3.5730067546241285E-3</v>
      </c>
      <c r="AV4" s="77">
        <v>1.0962000000000001</v>
      </c>
      <c r="AW4" s="78">
        <v>1.1023000000000001</v>
      </c>
      <c r="AX4" s="36">
        <f>(AW4-AV4)/AV4</f>
        <v>5.5646779784710764E-3</v>
      </c>
      <c r="AY4" s="50">
        <v>6638.5</v>
      </c>
      <c r="AZ4" s="51">
        <v>6934.94</v>
      </c>
      <c r="BA4" s="19">
        <f>(AZ4-AY4)/AY4</f>
        <v>4.4654665963696556E-2</v>
      </c>
      <c r="BB4" s="59">
        <v>2470.5</v>
      </c>
      <c r="BC4" s="60">
        <v>3271.75</v>
      </c>
      <c r="BD4" s="23">
        <f>(BC4-BB4)/BB4</f>
        <v>0.32432705929973688</v>
      </c>
      <c r="BE4" s="68">
        <v>1584.1</v>
      </c>
      <c r="BF4" s="69">
        <v>1554.68</v>
      </c>
      <c r="BG4" s="27">
        <f>(BF4-BE4)/BE4</f>
        <v>-1.8572059844706678E-2</v>
      </c>
      <c r="BH4" s="77">
        <v>1.0962000000000001</v>
      </c>
      <c r="BI4" s="78">
        <v>1.1068</v>
      </c>
      <c r="BJ4" s="36">
        <f>(BI4-BH4)/BH4</f>
        <v>9.6697682904578926E-3</v>
      </c>
    </row>
    <row r="5" spans="1:62" x14ac:dyDescent="0.35">
      <c r="A5" s="301"/>
      <c r="B5" s="2" t="s">
        <v>12</v>
      </c>
      <c r="C5" s="52">
        <v>9229.9</v>
      </c>
      <c r="D5" s="87">
        <v>13076.75</v>
      </c>
      <c r="E5" s="20">
        <f>(D5-C5)/C5</f>
        <v>0.41678133024193115</v>
      </c>
      <c r="F5" s="88">
        <v>3115.9</v>
      </c>
      <c r="G5" s="88">
        <v>3295.31</v>
      </c>
      <c r="H5" s="24">
        <f>(G5-F5)/F5</f>
        <v>5.7578869668474551E-2</v>
      </c>
      <c r="I5" s="70">
        <v>1779.9</v>
      </c>
      <c r="J5" s="89">
        <v>1587.4</v>
      </c>
      <c r="K5" s="28">
        <f>(J5-I5)/I5</f>
        <v>-0.10815214337884151</v>
      </c>
      <c r="L5" s="79">
        <v>1.125</v>
      </c>
      <c r="M5" s="90">
        <v>1.1234999999999999</v>
      </c>
      <c r="N5" s="32">
        <f>(M5-L5)/L5</f>
        <v>-1.3333333333333838E-3</v>
      </c>
      <c r="O5" s="52">
        <v>9229.9</v>
      </c>
      <c r="P5" s="87">
        <v>9152.48</v>
      </c>
      <c r="Q5" s="20">
        <f>(P5-O5)/O5</f>
        <v>-8.3879565325734925E-3</v>
      </c>
      <c r="R5" s="88">
        <v>3115.9</v>
      </c>
      <c r="S5" s="88">
        <v>3096</v>
      </c>
      <c r="T5" s="24">
        <f>(S5-R5)/R5</f>
        <v>-6.386597772714173E-3</v>
      </c>
      <c r="U5" s="70">
        <v>1779.9</v>
      </c>
      <c r="V5" s="89">
        <v>1800.77</v>
      </c>
      <c r="W5" s="28">
        <f>(V5-U5)/U5</f>
        <v>1.1725377830215119E-2</v>
      </c>
      <c r="X5" s="79">
        <v>1.125</v>
      </c>
      <c r="Y5" s="90">
        <v>1.1231</v>
      </c>
      <c r="Z5" s="37">
        <f>(Y5-X5)/X5</f>
        <v>-1.6888888888889004E-3</v>
      </c>
      <c r="AA5" s="52">
        <v>9229.9</v>
      </c>
      <c r="AB5" s="87">
        <v>12768.7</v>
      </c>
      <c r="AC5" s="20">
        <f>(AB5-AA5)/AA5</f>
        <v>0.38340610407480052</v>
      </c>
      <c r="AD5" s="88">
        <v>3115.9</v>
      </c>
      <c r="AE5" s="88">
        <v>3295</v>
      </c>
      <c r="AF5" s="24">
        <f>(AE5-AD5)/AD5</f>
        <v>5.7479379954427263E-2</v>
      </c>
      <c r="AG5" s="70">
        <v>1779.9</v>
      </c>
      <c r="AH5" s="89">
        <v>1589.24</v>
      </c>
      <c r="AI5" s="28">
        <f>(AH5-AG5)/AG5</f>
        <v>-0.1071183774369347</v>
      </c>
      <c r="AJ5" s="79">
        <v>1.125</v>
      </c>
      <c r="AK5" s="90">
        <v>1.1232</v>
      </c>
      <c r="AL5" s="37">
        <f>(AK5-AJ5)/AJ5</f>
        <v>-1.6000000000000211E-3</v>
      </c>
      <c r="AM5" s="52">
        <v>9229.9</v>
      </c>
      <c r="AN5" s="87">
        <v>9143.9599999999991</v>
      </c>
      <c r="AO5" s="20">
        <f>(AN5-AM5)/AM5</f>
        <v>-9.3110434565922186E-3</v>
      </c>
      <c r="AP5" s="88">
        <v>3115.9</v>
      </c>
      <c r="AQ5" s="88">
        <v>3094.3</v>
      </c>
      <c r="AR5" s="24">
        <f>(AQ5-AP5)/AP5</f>
        <v>-6.9321865271670816E-3</v>
      </c>
      <c r="AS5" s="70">
        <v>1779.9</v>
      </c>
      <c r="AT5" s="89">
        <v>1801.02</v>
      </c>
      <c r="AU5" s="28">
        <f>(AT5-AS5)/AS5</f>
        <v>1.1865835159278549E-2</v>
      </c>
      <c r="AV5" s="79">
        <v>1.125</v>
      </c>
      <c r="AW5" s="90">
        <v>1.1232</v>
      </c>
      <c r="AX5" s="37">
        <f>(AW5-AV5)/AV5</f>
        <v>-1.6000000000000211E-3</v>
      </c>
      <c r="AY5" s="52">
        <v>9229.9</v>
      </c>
      <c r="AZ5" s="87">
        <v>7011.87</v>
      </c>
      <c r="BA5" s="20">
        <f>(AZ5-AY5)/AY5</f>
        <v>-0.24030921245083911</v>
      </c>
      <c r="BB5" s="88">
        <v>3115.9</v>
      </c>
      <c r="BC5" s="88">
        <v>3297.88</v>
      </c>
      <c r="BD5" s="24">
        <f>(BC5-BB5)/BB5</f>
        <v>5.8403671491382911E-2</v>
      </c>
      <c r="BE5" s="70">
        <v>1779.9</v>
      </c>
      <c r="BF5" s="89">
        <v>1601.16</v>
      </c>
      <c r="BG5" s="28">
        <f>(BF5-BE5)/BE5</f>
        <v>-0.1004213719871903</v>
      </c>
      <c r="BH5" s="79">
        <v>1.125</v>
      </c>
      <c r="BI5" s="90">
        <v>1.0956999999999999</v>
      </c>
      <c r="BJ5" s="37">
        <f>(BI5-BH5)/BH5</f>
        <v>-2.6044444444444537E-2</v>
      </c>
    </row>
    <row r="6" spans="1:62" x14ac:dyDescent="0.35">
      <c r="A6" s="301"/>
      <c r="B6" s="2" t="s">
        <v>13</v>
      </c>
      <c r="C6" s="52">
        <v>10620.5</v>
      </c>
      <c r="D6" s="87">
        <v>17613.099999999999</v>
      </c>
      <c r="E6" s="20">
        <f>(D6-C6)/C6</f>
        <v>0.65840591309260377</v>
      </c>
      <c r="F6" s="61">
        <v>3380.8</v>
      </c>
      <c r="G6" s="88">
        <v>3328.59</v>
      </c>
      <c r="H6" s="24">
        <f>(G6-F6)/F6</f>
        <v>-1.5443090392806447E-2</v>
      </c>
      <c r="I6" s="70">
        <v>1912.3</v>
      </c>
      <c r="J6" s="89">
        <v>1620.75</v>
      </c>
      <c r="K6" s="28">
        <f>(J6-I6)/I6</f>
        <v>-0.15246038801443287</v>
      </c>
      <c r="L6" s="79">
        <v>1.1747000000000001</v>
      </c>
      <c r="M6" s="90">
        <v>1.1247</v>
      </c>
      <c r="N6" s="32">
        <f>(M6-L6)/L6</f>
        <v>-4.2564058908657568E-2</v>
      </c>
      <c r="O6" s="52">
        <v>10620.5</v>
      </c>
      <c r="P6" s="87">
        <v>10791.47</v>
      </c>
      <c r="Q6" s="20">
        <f>(P6-O6)/O6</f>
        <v>1.6098112141612858E-2</v>
      </c>
      <c r="R6" s="61">
        <v>3380.8</v>
      </c>
      <c r="S6" s="88">
        <v>3361.39</v>
      </c>
      <c r="T6" s="24">
        <f>(S6-R6)/R6</f>
        <v>-5.7412446758164657E-3</v>
      </c>
      <c r="U6" s="70">
        <v>1912.3</v>
      </c>
      <c r="V6" s="89">
        <v>1892.64</v>
      </c>
      <c r="W6" s="28">
        <f>(V6-U6)/U6</f>
        <v>-1.028081367986187E-2</v>
      </c>
      <c r="X6" s="79">
        <v>1.1747000000000001</v>
      </c>
      <c r="Y6" s="90">
        <v>1.1719999999999999</v>
      </c>
      <c r="Z6" s="37">
        <f>(Y6-X6)/X6</f>
        <v>-2.2984591810676315E-3</v>
      </c>
      <c r="AA6" s="52">
        <v>10620.5</v>
      </c>
      <c r="AB6" s="87">
        <v>17024.11</v>
      </c>
      <c r="AC6" s="20">
        <f>(AB6-AA6)/AA6</f>
        <v>0.60294807212466461</v>
      </c>
      <c r="AD6" s="61">
        <v>3380.8</v>
      </c>
      <c r="AE6" s="88">
        <v>3327.08</v>
      </c>
      <c r="AF6" s="24">
        <f>(AE6-AD6)/AD6</f>
        <v>-1.5889730241363066E-2</v>
      </c>
      <c r="AG6" s="70">
        <v>1912.3</v>
      </c>
      <c r="AH6" s="89">
        <v>1626.89</v>
      </c>
      <c r="AI6" s="28">
        <f>(AH6-AG6)/AG6</f>
        <v>-0.14924959472886046</v>
      </c>
      <c r="AJ6" s="79">
        <v>1.1747000000000001</v>
      </c>
      <c r="AK6" s="90">
        <v>1.1251</v>
      </c>
      <c r="AL6" s="37">
        <f>(AK6-AJ6)/AJ6</f>
        <v>-4.2223546437388342E-2</v>
      </c>
      <c r="AM6" s="52">
        <v>10620.5</v>
      </c>
      <c r="AN6" s="87">
        <v>10811.04</v>
      </c>
      <c r="AO6" s="20">
        <f>(AN6-AM6)/AM6</f>
        <v>1.7940774916435278E-2</v>
      </c>
      <c r="AP6" s="61">
        <v>3380.8</v>
      </c>
      <c r="AQ6" s="88">
        <v>3358.77</v>
      </c>
      <c r="AR6" s="24">
        <f>(AQ6-AP6)/AP6</f>
        <v>-6.5162091812589326E-3</v>
      </c>
      <c r="AS6" s="70">
        <v>1912.3</v>
      </c>
      <c r="AT6" s="89">
        <v>1888.44</v>
      </c>
      <c r="AU6" s="28">
        <f>(AT6-AS6)/AS6</f>
        <v>-1.2477121790513988E-2</v>
      </c>
      <c r="AV6" s="79">
        <v>1.1747000000000001</v>
      </c>
      <c r="AW6" s="90">
        <v>1.1727000000000001</v>
      </c>
      <c r="AX6" s="37">
        <f>(AW6-AV6)/AV6</f>
        <v>-1.7025623563463026E-3</v>
      </c>
      <c r="AY6" s="52">
        <v>10620.5</v>
      </c>
      <c r="AZ6" s="87">
        <v>7549.37</v>
      </c>
      <c r="BA6" s="20">
        <f>(AZ6-AY6)/AY6</f>
        <v>-0.28917000141236288</v>
      </c>
      <c r="BB6" s="61">
        <v>3380.8</v>
      </c>
      <c r="BC6" s="88">
        <v>3354.58</v>
      </c>
      <c r="BD6" s="24">
        <f>(BC6-BB6)/BB6</f>
        <v>-7.7555608140085939E-3</v>
      </c>
      <c r="BE6" s="70">
        <v>1912.3</v>
      </c>
      <c r="BF6" s="89">
        <v>1688.72</v>
      </c>
      <c r="BG6" s="28">
        <f>(BF6-BE6)/BE6</f>
        <v>-0.11691680175704645</v>
      </c>
      <c r="BH6" s="79">
        <v>1.1747000000000001</v>
      </c>
      <c r="BI6" s="90">
        <v>1.0964</v>
      </c>
      <c r="BJ6" s="37">
        <f>(BI6-BH6)/BH6</f>
        <v>-6.6655316250957719E-2</v>
      </c>
    </row>
    <row r="7" spans="1:62" ht="15" thickBot="1" x14ac:dyDescent="0.4">
      <c r="A7" s="302"/>
      <c r="B7" s="3" t="s">
        <v>14</v>
      </c>
      <c r="C7" s="53">
        <v>29359.9</v>
      </c>
      <c r="D7" s="54">
        <v>23723.119999999999</v>
      </c>
      <c r="E7" s="20">
        <f>(D7-C7)/C7</f>
        <v>-0.19198907353226688</v>
      </c>
      <c r="F7" s="62">
        <v>3756.1</v>
      </c>
      <c r="G7" s="63">
        <v>3362.21</v>
      </c>
      <c r="H7" s="24">
        <f>(G7-F7)/F7</f>
        <v>-0.10486675008652589</v>
      </c>
      <c r="I7" s="71">
        <v>1895.1</v>
      </c>
      <c r="J7" s="72">
        <v>1654.8</v>
      </c>
      <c r="K7" s="28">
        <f>(J7-I7)/I7</f>
        <v>-0.12680069653316445</v>
      </c>
      <c r="L7" s="80">
        <v>1.2212000000000001</v>
      </c>
      <c r="M7" s="81">
        <v>1.1258999999999999</v>
      </c>
      <c r="N7" s="32">
        <f>(M7-L7)/L7</f>
        <v>-7.8037995414346667E-2</v>
      </c>
      <c r="O7" s="53">
        <v>29359.9</v>
      </c>
      <c r="P7" s="54">
        <v>28792.57</v>
      </c>
      <c r="Q7" s="20">
        <f>(P7-O7)/O7</f>
        <v>-1.9323294697870284E-2</v>
      </c>
      <c r="R7" s="62">
        <v>3756.1</v>
      </c>
      <c r="S7" s="63">
        <v>3753.92</v>
      </c>
      <c r="T7" s="24">
        <f>(S7-R7)/R7</f>
        <v>-5.8038923351344117E-4</v>
      </c>
      <c r="U7" s="71">
        <v>1895.1</v>
      </c>
      <c r="V7" s="72">
        <v>1895.58</v>
      </c>
      <c r="W7" s="28">
        <f>(V7-U7)/U7</f>
        <v>2.5328478708248545E-4</v>
      </c>
      <c r="X7" s="80">
        <v>1.2212000000000001</v>
      </c>
      <c r="Y7" s="81">
        <v>1.2215</v>
      </c>
      <c r="Z7" s="37">
        <f>(Y7-X7)/X7</f>
        <v>2.4566000655090644E-4</v>
      </c>
      <c r="AA7" s="53">
        <v>29359.9</v>
      </c>
      <c r="AB7" s="54">
        <v>22205.96</v>
      </c>
      <c r="AC7" s="20">
        <f>(AB7-AA7)/AA7</f>
        <v>-0.2436636364565275</v>
      </c>
      <c r="AD7" s="62">
        <v>3756.1</v>
      </c>
      <c r="AE7" s="63">
        <v>3360.92</v>
      </c>
      <c r="AF7" s="24">
        <f>(AE7-AD7)/AD7</f>
        <v>-0.10521019142195358</v>
      </c>
      <c r="AG7" s="71">
        <v>1895.1</v>
      </c>
      <c r="AH7" s="72">
        <v>1663.52</v>
      </c>
      <c r="AI7" s="28">
        <f>(AH7-AG7)/AG7</f>
        <v>-0.12219935623449947</v>
      </c>
      <c r="AJ7" s="80">
        <v>1.2212000000000001</v>
      </c>
      <c r="AK7" s="81">
        <v>1.1269</v>
      </c>
      <c r="AL7" s="37">
        <f>(AK7-AJ7)/AJ7</f>
        <v>-7.7219128725843467E-2</v>
      </c>
      <c r="AM7" s="53">
        <v>29359.9</v>
      </c>
      <c r="AN7" s="54">
        <v>29134.07</v>
      </c>
      <c r="AO7" s="20">
        <f>(AN7-AM7)/AM7</f>
        <v>-7.6917836913614054E-3</v>
      </c>
      <c r="AP7" s="62">
        <v>3756.1</v>
      </c>
      <c r="AQ7" s="63">
        <v>3754.07</v>
      </c>
      <c r="AR7" s="24">
        <f>(AQ7-AP7)/AP7</f>
        <v>-5.4045419451019549E-4</v>
      </c>
      <c r="AS7" s="71">
        <v>1895.1</v>
      </c>
      <c r="AT7" s="72">
        <v>1896.42</v>
      </c>
      <c r="AU7" s="28">
        <f>(AT7-AS7)/AS7</f>
        <v>6.9653316447689504E-4</v>
      </c>
      <c r="AV7" s="80">
        <v>1.2212000000000001</v>
      </c>
      <c r="AW7" s="81">
        <v>1.2217</v>
      </c>
      <c r="AX7" s="37">
        <f>(AW7-AV7)/AV7</f>
        <v>4.0943334425151072E-4</v>
      </c>
      <c r="AY7" s="53">
        <v>29359.9</v>
      </c>
      <c r="AZ7" s="54">
        <v>8964.32</v>
      </c>
      <c r="BA7" s="20">
        <f>(AZ7-AY7)/AY7</f>
        <v>-0.69467470938252518</v>
      </c>
      <c r="BB7" s="62">
        <v>3756.1</v>
      </c>
      <c r="BC7" s="63">
        <v>3433.93</v>
      </c>
      <c r="BD7" s="24">
        <f>(BC7-BB7)/BB7</f>
        <v>-8.5772476771119002E-2</v>
      </c>
      <c r="BE7" s="71">
        <v>1895.1</v>
      </c>
      <c r="BF7" s="72">
        <v>1781.9</v>
      </c>
      <c r="BG7" s="28">
        <f>(BF7-BE7)/BE7</f>
        <v>-5.9732995620283794E-2</v>
      </c>
      <c r="BH7" s="80">
        <v>1.2212000000000001</v>
      </c>
      <c r="BI7" s="81">
        <v>1.0999000000000001</v>
      </c>
      <c r="BJ7" s="37">
        <f>(BI7-BH7)/BH7</f>
        <v>-9.9328529315427419E-2</v>
      </c>
    </row>
    <row r="8" spans="1:62" x14ac:dyDescent="0.35">
      <c r="A8" s="300" t="s">
        <v>3</v>
      </c>
      <c r="B8" s="1" t="s">
        <v>15</v>
      </c>
      <c r="C8" s="55">
        <v>58718.3</v>
      </c>
      <c r="D8" s="56">
        <v>38819.47</v>
      </c>
      <c r="E8" s="21">
        <f>(D8-C8)/C8</f>
        <v>-0.33888634378038873</v>
      </c>
      <c r="F8" s="64">
        <v>4019.9</v>
      </c>
      <c r="G8" s="65">
        <v>3796.65</v>
      </c>
      <c r="H8" s="25">
        <f>(G8-F8)/F8</f>
        <v>-5.5536207368342493E-2</v>
      </c>
      <c r="I8" s="73">
        <v>1727.3</v>
      </c>
      <c r="J8" s="74">
        <v>1937.56</v>
      </c>
      <c r="K8" s="29">
        <f>(J8-I8)/I8</f>
        <v>0.12172755167023679</v>
      </c>
      <c r="L8" s="82">
        <v>1.1775</v>
      </c>
      <c r="M8" s="83">
        <v>1.2238</v>
      </c>
      <c r="N8" s="33">
        <f>(M8-L8)/L8</f>
        <v>3.9320594479830155E-2</v>
      </c>
      <c r="O8" s="55">
        <v>58718.3</v>
      </c>
      <c r="P8" s="56">
        <v>58719.75</v>
      </c>
      <c r="Q8" s="21">
        <f>(P8-O8)/O8</f>
        <v>2.4694175410342082E-5</v>
      </c>
      <c r="R8" s="64">
        <v>4019.9</v>
      </c>
      <c r="S8" s="65">
        <v>3971.8</v>
      </c>
      <c r="T8" s="25">
        <f>(S8-R8)/R8</f>
        <v>-1.19654717779049E-2</v>
      </c>
      <c r="U8" s="73">
        <v>1727.3</v>
      </c>
      <c r="V8" s="74">
        <v>1714.23</v>
      </c>
      <c r="W8" s="29">
        <f>(V8-U8)/U8</f>
        <v>-7.5667226306952683E-3</v>
      </c>
      <c r="X8" s="82">
        <v>1.1775</v>
      </c>
      <c r="Y8" s="83">
        <v>1.1727000000000001</v>
      </c>
      <c r="Z8" s="38">
        <f>(Y8-X8)/X8</f>
        <v>-4.0764331210190368E-3</v>
      </c>
      <c r="AA8" s="55">
        <v>58718.3</v>
      </c>
      <c r="AB8" s="56">
        <v>39309.65</v>
      </c>
      <c r="AC8" s="21">
        <f>(AB8-AA8)/AA8</f>
        <v>-0.33053835005441234</v>
      </c>
      <c r="AD8" s="64">
        <v>4019.9</v>
      </c>
      <c r="AE8" s="65">
        <v>3794.02</v>
      </c>
      <c r="AF8" s="25">
        <f>(AE8-AD8)/AD8</f>
        <v>-5.6190452498818405E-2</v>
      </c>
      <c r="AG8" s="73">
        <v>1727.3</v>
      </c>
      <c r="AH8" s="74">
        <v>1936.39</v>
      </c>
      <c r="AI8" s="29">
        <f>(AH8-AG8)/AG8</f>
        <v>0.12105019394430623</v>
      </c>
      <c r="AJ8" s="82">
        <v>1.1775</v>
      </c>
      <c r="AK8" s="83">
        <v>1.2236</v>
      </c>
      <c r="AL8" s="38">
        <f>(AK8-AJ8)/AJ8</f>
        <v>3.9150743099787715E-2</v>
      </c>
      <c r="AM8" s="55">
        <v>58718.3</v>
      </c>
      <c r="AN8" s="56">
        <v>58987.360000000001</v>
      </c>
      <c r="AO8" s="21">
        <f>(AN8-AM8)/AM8</f>
        <v>4.5822171282206342E-3</v>
      </c>
      <c r="AP8" s="64">
        <v>4019.9</v>
      </c>
      <c r="AQ8" s="65">
        <v>3971.16</v>
      </c>
      <c r="AR8" s="25">
        <f>(AQ8-AP8)/AP8</f>
        <v>-1.2124679718401013E-2</v>
      </c>
      <c r="AS8" s="73">
        <v>1727.3</v>
      </c>
      <c r="AT8" s="74">
        <v>1715.5</v>
      </c>
      <c r="AU8" s="29">
        <f>(AT8-AS8)/AS8</f>
        <v>-6.8314710820355203E-3</v>
      </c>
      <c r="AV8" s="82">
        <v>1.1775</v>
      </c>
      <c r="AW8" s="83">
        <v>1.1721999999999999</v>
      </c>
      <c r="AX8" s="38">
        <f>(AW8-AV8)/AV8</f>
        <v>-4.5010615711253352E-3</v>
      </c>
      <c r="AY8" s="55">
        <v>58718.3</v>
      </c>
      <c r="AZ8" s="56">
        <v>38615.71</v>
      </c>
      <c r="BA8" s="21">
        <f>(AZ8-AY8)/AY8</f>
        <v>-0.34235647149185183</v>
      </c>
      <c r="BB8" s="64">
        <v>4019.9</v>
      </c>
      <c r="BC8" s="65">
        <v>3917.93</v>
      </c>
      <c r="BD8" s="25">
        <f>(BC8-BB8)/BB8</f>
        <v>-2.536630264434445E-2</v>
      </c>
      <c r="BE8" s="73">
        <v>1727.3</v>
      </c>
      <c r="BF8" s="74">
        <v>1989.37</v>
      </c>
      <c r="BG8" s="29">
        <f>(BF8-BE8)/BE8</f>
        <v>0.15172234122619113</v>
      </c>
      <c r="BH8" s="82">
        <v>1.1775</v>
      </c>
      <c r="BI8" s="83">
        <v>1.2282999999999999</v>
      </c>
      <c r="BJ8" s="38">
        <f>(BI8-BH8)/BH8</f>
        <v>4.3142250530785527E-2</v>
      </c>
    </row>
    <row r="9" spans="1:62" x14ac:dyDescent="0.35">
      <c r="A9" s="301"/>
      <c r="B9" s="2" t="s">
        <v>16</v>
      </c>
      <c r="C9" s="52">
        <v>33543.599999999999</v>
      </c>
      <c r="D9" s="87">
        <v>52360.58</v>
      </c>
      <c r="E9" s="20">
        <f t="shared" ref="E9:E26" si="0">(D9-C9)/C9</f>
        <v>0.56097079621746038</v>
      </c>
      <c r="F9" s="61">
        <v>4319.8999999999996</v>
      </c>
      <c r="G9" s="88">
        <v>3839.61</v>
      </c>
      <c r="H9" s="24">
        <f t="shared" ref="H9:H27" si="1">(G9-F9)/F9</f>
        <v>-0.11118081437070292</v>
      </c>
      <c r="I9" s="70">
        <v>1776.8</v>
      </c>
      <c r="J9" s="89">
        <v>1980.93</v>
      </c>
      <c r="K9" s="28">
        <f t="shared" ref="K9:K27" si="2">(J9-I9)/I9</f>
        <v>0.11488631247185958</v>
      </c>
      <c r="L9" s="79">
        <v>1.1848000000000001</v>
      </c>
      <c r="M9" s="90">
        <v>1.2262999999999999</v>
      </c>
      <c r="N9" s="32">
        <f t="shared" ref="N9:N27" si="3">(M9-L9)/L9</f>
        <v>3.502700877785269E-2</v>
      </c>
      <c r="O9" s="52">
        <v>33543.599999999999</v>
      </c>
      <c r="P9" s="87">
        <v>35154.36</v>
      </c>
      <c r="Q9" s="20">
        <f t="shared" ref="Q9:Q27" si="4">(P9-O9)/O9</f>
        <v>4.801989053053346E-2</v>
      </c>
      <c r="R9" s="61">
        <v>4319.8999999999996</v>
      </c>
      <c r="S9" s="88">
        <v>4297.72</v>
      </c>
      <c r="T9" s="24">
        <f t="shared" ref="T9:T27" si="5">(S9-R9)/R9</f>
        <v>-5.134378110604269E-3</v>
      </c>
      <c r="U9" s="70">
        <v>1776.8</v>
      </c>
      <c r="V9" s="89">
        <v>1771.76</v>
      </c>
      <c r="W9" s="28">
        <f t="shared" ref="W9:W27" si="6">(V9-U9)/U9</f>
        <v>-2.8365601080594122E-3</v>
      </c>
      <c r="X9" s="79">
        <v>1.1848000000000001</v>
      </c>
      <c r="Y9" s="90">
        <v>1.1855</v>
      </c>
      <c r="Z9" s="37">
        <f t="shared" ref="Z9:Z14" si="7">(Y9-X9)/X9</f>
        <v>5.9081701552998213E-4</v>
      </c>
      <c r="AA9" s="52">
        <v>33543.599999999999</v>
      </c>
      <c r="AB9" s="87">
        <v>52320.87</v>
      </c>
      <c r="AC9" s="20">
        <f t="shared" ref="AC9:AC27" si="8">(AB9-AA9)/AA9</f>
        <v>0.55978696383214699</v>
      </c>
      <c r="AD9" s="61">
        <v>4319.8999999999996</v>
      </c>
      <c r="AE9" s="88">
        <v>3843</v>
      </c>
      <c r="AF9" s="24">
        <f t="shared" ref="AF9:AF27" si="9">(AE9-AD9)/AD9</f>
        <v>-0.11039607398319398</v>
      </c>
      <c r="AG9" s="70">
        <v>1776.8</v>
      </c>
      <c r="AH9" s="89">
        <v>1978.43</v>
      </c>
      <c r="AI9" s="28">
        <f t="shared" ref="AI9:AI27" si="10">(AH9-AG9)/AG9</f>
        <v>0.11347928860873487</v>
      </c>
      <c r="AJ9" s="79">
        <v>1.1848000000000001</v>
      </c>
      <c r="AK9" s="90">
        <v>1.2257</v>
      </c>
      <c r="AL9" s="37">
        <f t="shared" ref="AL9:AL27" si="11">(AK9-AJ9)/AJ9</f>
        <v>3.4520594193112708E-2</v>
      </c>
      <c r="AM9" s="52">
        <v>33543.599999999999</v>
      </c>
      <c r="AN9" s="87">
        <v>35273.660000000003</v>
      </c>
      <c r="AO9" s="20">
        <f t="shared" ref="AO9:AO27" si="12">(AN9-AM9)/AM9</f>
        <v>5.1576455717335198E-2</v>
      </c>
      <c r="AP9" s="61">
        <v>4319.8999999999996</v>
      </c>
      <c r="AQ9" s="88">
        <v>4298.6099999999997</v>
      </c>
      <c r="AR9" s="24">
        <f t="shared" ref="AR9:AR27" si="13">(AQ9-AP9)/AP9</f>
        <v>-4.9283548230283029E-3</v>
      </c>
      <c r="AS9" s="70">
        <v>1776.8</v>
      </c>
      <c r="AT9" s="89">
        <v>1771.59</v>
      </c>
      <c r="AU9" s="28">
        <f t="shared" ref="AU9:AU27" si="14">(AT9-AS9)/AS9</f>
        <v>-2.9322377307519341E-3</v>
      </c>
      <c r="AV9" s="79">
        <v>1.1848000000000001</v>
      </c>
      <c r="AW9" s="90">
        <v>1.1849000000000001</v>
      </c>
      <c r="AX9" s="37">
        <f t="shared" ref="AX9:AX27" si="15">(AW9-AV9)/AV9</f>
        <v>8.4402430789997447E-5</v>
      </c>
      <c r="AY9" s="52">
        <v>33543.599999999999</v>
      </c>
      <c r="AZ9" s="87">
        <v>49554.71</v>
      </c>
      <c r="BA9" s="20">
        <f t="shared" ref="BA9:BA27" si="16">(AZ9-AY9)/AY9</f>
        <v>0.47732235061233741</v>
      </c>
      <c r="BB9" s="61">
        <v>4319.8999999999996</v>
      </c>
      <c r="BC9" s="88">
        <v>4107.6000000000004</v>
      </c>
      <c r="BD9" s="24">
        <f t="shared" ref="BD9:BD27" si="17">(BC9-BB9)/BB9</f>
        <v>-4.9144656126299056E-2</v>
      </c>
      <c r="BE9" s="70">
        <v>1776.8</v>
      </c>
      <c r="BF9" s="89">
        <v>2064.7800000000002</v>
      </c>
      <c r="BG9" s="28">
        <f t="shared" ref="BG9:BG27" si="18">(BF9-BE9)/BE9</f>
        <v>0.16207789284106272</v>
      </c>
      <c r="BH9" s="79">
        <v>1.1848000000000001</v>
      </c>
      <c r="BI9" s="90">
        <v>1.2362</v>
      </c>
      <c r="BJ9" s="37">
        <f t="shared" ref="BJ9:BJ27" si="19">(BI9-BH9)/BH9</f>
        <v>4.3382849426063373E-2</v>
      </c>
    </row>
    <row r="10" spans="1:62" x14ac:dyDescent="0.35">
      <c r="A10" s="301"/>
      <c r="B10" s="2" t="s">
        <v>17</v>
      </c>
      <c r="C10" s="52">
        <v>48146</v>
      </c>
      <c r="D10" s="87">
        <v>70857.75</v>
      </c>
      <c r="E10" s="20">
        <f t="shared" si="0"/>
        <v>0.47172662318780378</v>
      </c>
      <c r="F10" s="61">
        <v>4357</v>
      </c>
      <c r="G10" s="88">
        <v>3883.54</v>
      </c>
      <c r="H10" s="24">
        <f t="shared" si="1"/>
        <v>-0.10866651365618546</v>
      </c>
      <c r="I10" s="70">
        <v>1757.7</v>
      </c>
      <c r="J10" s="89">
        <v>2025.77</v>
      </c>
      <c r="K10" s="28">
        <f t="shared" si="2"/>
        <v>0.1525118051999772</v>
      </c>
      <c r="L10" s="79">
        <v>1.1594</v>
      </c>
      <c r="M10" s="90">
        <v>1.2287999999999999</v>
      </c>
      <c r="N10" s="32">
        <f t="shared" si="3"/>
        <v>5.9858547524581598E-2</v>
      </c>
      <c r="O10" s="52">
        <v>48146</v>
      </c>
      <c r="P10" s="87">
        <v>43904.76</v>
      </c>
      <c r="Q10" s="20">
        <f t="shared" si="4"/>
        <v>-8.8091222531466742E-2</v>
      </c>
      <c r="R10" s="61">
        <v>4357</v>
      </c>
      <c r="S10" s="88">
        <v>4312.01</v>
      </c>
      <c r="T10" s="24">
        <f t="shared" si="5"/>
        <v>-1.0325912324994212E-2</v>
      </c>
      <c r="U10" s="70">
        <v>1757.7</v>
      </c>
      <c r="V10" s="89">
        <v>1756.18</v>
      </c>
      <c r="W10" s="28">
        <f t="shared" si="6"/>
        <v>-8.6476645616429524E-4</v>
      </c>
      <c r="X10" s="79">
        <v>1.1594</v>
      </c>
      <c r="Y10" s="90">
        <v>1.1579999999999999</v>
      </c>
      <c r="Z10" s="37">
        <f t="shared" si="7"/>
        <v>-1.207521131619862E-3</v>
      </c>
      <c r="AA10" s="52">
        <v>48146</v>
      </c>
      <c r="AB10" s="87">
        <v>70617.490000000005</v>
      </c>
      <c r="AC10" s="20">
        <f t="shared" si="8"/>
        <v>0.46673638516179966</v>
      </c>
      <c r="AD10" s="61">
        <v>4357</v>
      </c>
      <c r="AE10" s="88">
        <v>3897.21</v>
      </c>
      <c r="AF10" s="24">
        <f t="shared" si="9"/>
        <v>-0.1055290337388111</v>
      </c>
      <c r="AG10" s="70">
        <v>1757.7</v>
      </c>
      <c r="AH10" s="89">
        <v>2020.66</v>
      </c>
      <c r="AI10" s="28">
        <f t="shared" si="10"/>
        <v>0.14960459691642489</v>
      </c>
      <c r="AJ10" s="79">
        <v>1.1594</v>
      </c>
      <c r="AK10" s="90">
        <v>1.2274</v>
      </c>
      <c r="AL10" s="37">
        <f t="shared" si="11"/>
        <v>5.8651026392961929E-2</v>
      </c>
      <c r="AM10" s="52">
        <v>48146</v>
      </c>
      <c r="AN10" s="87">
        <v>43750.81</v>
      </c>
      <c r="AO10" s="20">
        <f t="shared" si="12"/>
        <v>-9.1288788269015125E-2</v>
      </c>
      <c r="AP10" s="61">
        <v>4357</v>
      </c>
      <c r="AQ10" s="88">
        <v>4323.62</v>
      </c>
      <c r="AR10" s="24">
        <f t="shared" si="13"/>
        <v>-7.661234794583454E-3</v>
      </c>
      <c r="AS10" s="70">
        <v>1757.7</v>
      </c>
      <c r="AT10" s="89">
        <v>1755.85</v>
      </c>
      <c r="AU10" s="28">
        <f t="shared" si="14"/>
        <v>-1.0525118052000548E-3</v>
      </c>
      <c r="AV10" s="79">
        <v>1.1594</v>
      </c>
      <c r="AW10" s="90">
        <v>1.157</v>
      </c>
      <c r="AX10" s="37">
        <f t="shared" si="15"/>
        <v>-2.0700362256339121E-3</v>
      </c>
      <c r="AY10" s="52">
        <v>48146</v>
      </c>
      <c r="AZ10" s="87">
        <v>58153.93</v>
      </c>
      <c r="BA10" s="20">
        <f t="shared" si="16"/>
        <v>0.2078662817264155</v>
      </c>
      <c r="BB10" s="61">
        <v>4357</v>
      </c>
      <c r="BC10" s="88">
        <v>4335.79</v>
      </c>
      <c r="BD10" s="24">
        <f t="shared" si="17"/>
        <v>-4.868028459949515E-3</v>
      </c>
      <c r="BE10" s="70">
        <v>1757.7</v>
      </c>
      <c r="BF10" s="89">
        <v>2116.5</v>
      </c>
      <c r="BG10" s="28">
        <f t="shared" si="18"/>
        <v>0.20413039767878474</v>
      </c>
      <c r="BH10" s="79">
        <v>1.1594</v>
      </c>
      <c r="BI10" s="90">
        <v>1.2437</v>
      </c>
      <c r="BJ10" s="37">
        <f t="shared" si="19"/>
        <v>7.2710022425392484E-2</v>
      </c>
    </row>
    <row r="11" spans="1:62" ht="15" thickBot="1" x14ac:dyDescent="0.4">
      <c r="A11" s="302"/>
      <c r="B11" s="3" t="s">
        <v>18</v>
      </c>
      <c r="C11" s="53">
        <v>47738</v>
      </c>
      <c r="D11" s="54">
        <v>95889.32</v>
      </c>
      <c r="E11" s="20">
        <f t="shared" si="0"/>
        <v>1.0086580920859693</v>
      </c>
      <c r="F11" s="62">
        <v>4766.2</v>
      </c>
      <c r="G11" s="63">
        <v>3927.98</v>
      </c>
      <c r="H11" s="24">
        <f t="shared" si="1"/>
        <v>-0.17586756745415633</v>
      </c>
      <c r="I11" s="71">
        <v>1828.6</v>
      </c>
      <c r="J11" s="72">
        <v>2071.63</v>
      </c>
      <c r="K11" s="28">
        <f t="shared" si="2"/>
        <v>0.13290495461008434</v>
      </c>
      <c r="L11" s="80">
        <v>1.1368</v>
      </c>
      <c r="M11" s="81">
        <v>1.2313000000000001</v>
      </c>
      <c r="N11" s="32">
        <f t="shared" si="3"/>
        <v>8.3128078817734014E-2</v>
      </c>
      <c r="O11" s="53">
        <v>47738</v>
      </c>
      <c r="P11" s="54">
        <v>46195.17</v>
      </c>
      <c r="Q11" s="20">
        <f t="shared" si="4"/>
        <v>-3.2318697892664158E-2</v>
      </c>
      <c r="R11" s="62">
        <v>4766.2</v>
      </c>
      <c r="S11" s="63">
        <v>4768.13</v>
      </c>
      <c r="T11" s="24">
        <f t="shared" si="5"/>
        <v>4.0493474885659248E-4</v>
      </c>
      <c r="U11" s="71">
        <v>1828.6</v>
      </c>
      <c r="V11" s="72">
        <v>1828.9</v>
      </c>
      <c r="W11" s="28">
        <f t="shared" si="6"/>
        <v>1.6405993656359069E-4</v>
      </c>
      <c r="X11" s="80">
        <v>1.1368</v>
      </c>
      <c r="Y11" s="81">
        <v>1.1367</v>
      </c>
      <c r="Z11" s="37">
        <f t="shared" si="7"/>
        <v>-8.7966220971137389E-5</v>
      </c>
      <c r="AA11" s="53">
        <v>47738</v>
      </c>
      <c r="AB11" s="54">
        <v>94474.99</v>
      </c>
      <c r="AC11" s="20">
        <f t="shared" si="8"/>
        <v>0.97903117013699792</v>
      </c>
      <c r="AD11" s="62">
        <v>4766.2</v>
      </c>
      <c r="AE11" s="63">
        <v>3955.42</v>
      </c>
      <c r="AF11" s="24">
        <f t="shared" si="9"/>
        <v>-0.17011036045486966</v>
      </c>
      <c r="AG11" s="71">
        <v>1828.6</v>
      </c>
      <c r="AH11" s="72">
        <v>2063.94</v>
      </c>
      <c r="AI11" s="28">
        <f t="shared" si="10"/>
        <v>0.12869955156950683</v>
      </c>
      <c r="AJ11" s="80">
        <v>1.1368</v>
      </c>
      <c r="AK11" s="81">
        <v>1.2287999999999999</v>
      </c>
      <c r="AL11" s="37">
        <f t="shared" si="11"/>
        <v>8.0928923293455191E-2</v>
      </c>
      <c r="AM11" s="53">
        <v>47738</v>
      </c>
      <c r="AN11" s="54">
        <v>46410.96</v>
      </c>
      <c r="AO11" s="20">
        <f t="shared" si="12"/>
        <v>-2.7798399597804703E-2</v>
      </c>
      <c r="AP11" s="62">
        <v>4766.2</v>
      </c>
      <c r="AQ11" s="63">
        <v>4771.01</v>
      </c>
      <c r="AR11" s="24">
        <f t="shared" si="13"/>
        <v>1.0091897108808695E-3</v>
      </c>
      <c r="AS11" s="71">
        <v>1828.6</v>
      </c>
      <c r="AT11" s="72">
        <v>1828.95</v>
      </c>
      <c r="AU11" s="28">
        <f t="shared" si="14"/>
        <v>1.9140325932414767E-4</v>
      </c>
      <c r="AV11" s="80">
        <v>1.1368</v>
      </c>
      <c r="AW11" s="81">
        <v>1.1367</v>
      </c>
      <c r="AX11" s="37">
        <f t="shared" si="15"/>
        <v>-8.7966220971137389E-5</v>
      </c>
      <c r="AY11" s="53">
        <v>47738</v>
      </c>
      <c r="AZ11" s="54">
        <v>74102.09</v>
      </c>
      <c r="BA11" s="20">
        <f t="shared" si="16"/>
        <v>0.55226632871088011</v>
      </c>
      <c r="BB11" s="62">
        <v>4766.2</v>
      </c>
      <c r="BC11" s="63">
        <v>4570.12</v>
      </c>
      <c r="BD11" s="24">
        <f t="shared" si="17"/>
        <v>-4.1139691997817952E-2</v>
      </c>
      <c r="BE11" s="71">
        <v>1828.6</v>
      </c>
      <c r="BF11" s="72">
        <v>2162.1799999999998</v>
      </c>
      <c r="BG11" s="28">
        <f t="shared" si="18"/>
        <v>0.18242371212949796</v>
      </c>
      <c r="BH11" s="80">
        <v>1.1368</v>
      </c>
      <c r="BI11" s="81">
        <v>1.2504</v>
      </c>
      <c r="BJ11" s="37">
        <f t="shared" si="19"/>
        <v>9.9929627023223014E-2</v>
      </c>
    </row>
    <row r="12" spans="1:62" x14ac:dyDescent="0.35">
      <c r="A12" s="300" t="s">
        <v>4</v>
      </c>
      <c r="B12" s="1" t="s">
        <v>19</v>
      </c>
      <c r="C12" s="55">
        <v>46297</v>
      </c>
      <c r="D12" s="56">
        <v>61218.13</v>
      </c>
      <c r="E12" s="21">
        <f t="shared" si="0"/>
        <v>0.32229150916906057</v>
      </c>
      <c r="F12" s="64">
        <v>4545.8599999999997</v>
      </c>
      <c r="G12" s="65">
        <v>4831.3500000000004</v>
      </c>
      <c r="H12" s="25">
        <f t="shared" si="1"/>
        <v>6.2802198043934637E-2</v>
      </c>
      <c r="I12" s="73">
        <v>1951.1</v>
      </c>
      <c r="J12" s="74">
        <v>1867.39</v>
      </c>
      <c r="K12" s="29">
        <f t="shared" si="2"/>
        <v>-4.2904002870175699E-2</v>
      </c>
      <c r="L12" s="82">
        <v>1.1052999999999999</v>
      </c>
      <c r="M12" s="83">
        <v>1.1380999999999999</v>
      </c>
      <c r="N12" s="33">
        <f t="shared" si="3"/>
        <v>2.9675201302813665E-2</v>
      </c>
      <c r="O12" s="55">
        <v>46297</v>
      </c>
      <c r="P12" s="56">
        <v>45858.83</v>
      </c>
      <c r="Q12" s="21">
        <f t="shared" si="4"/>
        <v>-9.4643281422122014E-3</v>
      </c>
      <c r="R12" s="64">
        <v>4545.8599999999997</v>
      </c>
      <c r="S12" s="65">
        <v>4539.24</v>
      </c>
      <c r="T12" s="25">
        <f t="shared" si="5"/>
        <v>-1.4562701007069931E-3</v>
      </c>
      <c r="U12" s="73">
        <v>1951.1</v>
      </c>
      <c r="V12" s="74">
        <v>1951.09</v>
      </c>
      <c r="W12" s="29">
        <f t="shared" si="6"/>
        <v>-5.125313925473274E-6</v>
      </c>
      <c r="X12" s="82">
        <v>1.1052999999999999</v>
      </c>
      <c r="Y12" s="83">
        <v>1.1068</v>
      </c>
      <c r="Z12" s="38">
        <f t="shared" si="7"/>
        <v>1.3570976205555568E-3</v>
      </c>
      <c r="AA12" s="55">
        <v>46297</v>
      </c>
      <c r="AB12" s="56">
        <v>60549.41</v>
      </c>
      <c r="AC12" s="21">
        <f t="shared" si="8"/>
        <v>0.30784737671987394</v>
      </c>
      <c r="AD12" s="64">
        <v>4545.8599999999997</v>
      </c>
      <c r="AE12" s="65">
        <v>4831.1099999999997</v>
      </c>
      <c r="AF12" s="25">
        <f t="shared" si="9"/>
        <v>6.2749402753274411E-2</v>
      </c>
      <c r="AG12" s="73">
        <v>1951.1</v>
      </c>
      <c r="AH12" s="74">
        <v>1867.06</v>
      </c>
      <c r="AI12" s="29">
        <f t="shared" si="10"/>
        <v>-4.3073138229716555E-2</v>
      </c>
      <c r="AJ12" s="82">
        <v>1.1052999999999999</v>
      </c>
      <c r="AK12" s="83">
        <v>1.1382000000000001</v>
      </c>
      <c r="AL12" s="38">
        <f t="shared" si="11"/>
        <v>2.9765674477517556E-2</v>
      </c>
      <c r="AM12" s="55">
        <v>46297</v>
      </c>
      <c r="AN12" s="56">
        <v>45706.61</v>
      </c>
      <c r="AO12" s="21">
        <f t="shared" si="12"/>
        <v>-1.2752230166101462E-2</v>
      </c>
      <c r="AP12" s="64">
        <v>4545.8599999999997</v>
      </c>
      <c r="AQ12" s="65">
        <v>4537.47</v>
      </c>
      <c r="AR12" s="25">
        <f t="shared" si="13"/>
        <v>-1.8456353693249283E-3</v>
      </c>
      <c r="AS12" s="73">
        <v>1951.1</v>
      </c>
      <c r="AT12" s="74">
        <v>1950.82</v>
      </c>
      <c r="AU12" s="29">
        <f t="shared" si="14"/>
        <v>-1.435087899133682E-4</v>
      </c>
      <c r="AV12" s="82">
        <v>1.1052999999999999</v>
      </c>
      <c r="AW12" s="83">
        <v>1.1064000000000001</v>
      </c>
      <c r="AX12" s="38">
        <f t="shared" si="15"/>
        <v>9.952049217407952E-4</v>
      </c>
      <c r="AY12" s="55">
        <v>46297</v>
      </c>
      <c r="AZ12" s="56">
        <v>55687.62</v>
      </c>
      <c r="BA12" s="21">
        <f t="shared" si="16"/>
        <v>0.20283430891850449</v>
      </c>
      <c r="BB12" s="64">
        <v>4545.8599999999997</v>
      </c>
      <c r="BC12" s="65">
        <v>4982.2</v>
      </c>
      <c r="BD12" s="25">
        <f t="shared" si="17"/>
        <v>9.5986238027567977E-2</v>
      </c>
      <c r="BE12" s="73">
        <v>1951.1</v>
      </c>
      <c r="BF12" s="74">
        <v>1862.49</v>
      </c>
      <c r="BG12" s="29">
        <f t="shared" si="18"/>
        <v>-4.541540669365994E-2</v>
      </c>
      <c r="BH12" s="82">
        <v>1.1052999999999999</v>
      </c>
      <c r="BI12" s="83">
        <v>1.139</v>
      </c>
      <c r="BJ12" s="38">
        <f t="shared" si="19"/>
        <v>3.0489459875147076E-2</v>
      </c>
    </row>
    <row r="13" spans="1:62" x14ac:dyDescent="0.35">
      <c r="A13" s="301"/>
      <c r="B13" s="2" t="s">
        <v>20</v>
      </c>
      <c r="C13" s="52">
        <v>19262.900000000001</v>
      </c>
      <c r="D13" s="87">
        <v>81272.17</v>
      </c>
      <c r="E13" s="20">
        <f t="shared" si="0"/>
        <v>3.2191035617689958</v>
      </c>
      <c r="F13" s="61">
        <v>3825.33</v>
      </c>
      <c r="G13" s="88">
        <v>4896.72</v>
      </c>
      <c r="H13" s="24">
        <f t="shared" si="1"/>
        <v>0.28007779720965259</v>
      </c>
      <c r="I13" s="70">
        <v>1807.3</v>
      </c>
      <c r="J13" s="89">
        <v>1907.09</v>
      </c>
      <c r="K13" s="28">
        <f t="shared" si="2"/>
        <v>5.5214961544845884E-2</v>
      </c>
      <c r="L13" s="79">
        <v>1.0427999999999999</v>
      </c>
      <c r="M13" s="90">
        <v>1.1393</v>
      </c>
      <c r="N13" s="32">
        <f t="shared" si="3"/>
        <v>9.2539317222861558E-2</v>
      </c>
      <c r="O13" s="52">
        <v>19262.900000000001</v>
      </c>
      <c r="P13" s="87">
        <v>19991.560000000001</v>
      </c>
      <c r="Q13" s="20">
        <f t="shared" si="4"/>
        <v>3.7827118450492907E-2</v>
      </c>
      <c r="R13" s="61">
        <v>3825.33</v>
      </c>
      <c r="S13" s="88">
        <v>3787.62</v>
      </c>
      <c r="T13" s="24">
        <f t="shared" si="5"/>
        <v>-9.8579730376202931E-3</v>
      </c>
      <c r="U13" s="70">
        <v>1807.3</v>
      </c>
      <c r="V13" s="89">
        <v>1807.85</v>
      </c>
      <c r="W13" s="28">
        <f t="shared" si="6"/>
        <v>3.043213633596827E-4</v>
      </c>
      <c r="X13" s="79">
        <v>1.0427999999999999</v>
      </c>
      <c r="Y13" s="90">
        <v>1.0479000000000001</v>
      </c>
      <c r="Z13" s="37">
        <f t="shared" si="7"/>
        <v>4.8906789413119527E-3</v>
      </c>
      <c r="AA13" s="52">
        <v>19262.900000000001</v>
      </c>
      <c r="AB13" s="87">
        <v>79741.679999999993</v>
      </c>
      <c r="AC13" s="20">
        <f t="shared" si="8"/>
        <v>3.1396508313909113</v>
      </c>
      <c r="AD13" s="61">
        <v>3825.33</v>
      </c>
      <c r="AE13" s="88">
        <v>4890.1000000000004</v>
      </c>
      <c r="AF13" s="24">
        <f t="shared" si="9"/>
        <v>0.27834722755945251</v>
      </c>
      <c r="AG13" s="70">
        <v>1807.3</v>
      </c>
      <c r="AH13" s="89">
        <v>1906.97</v>
      </c>
      <c r="AI13" s="28">
        <f t="shared" si="10"/>
        <v>5.5148564156476551E-2</v>
      </c>
      <c r="AJ13" s="79">
        <v>1.0427999999999999</v>
      </c>
      <c r="AK13" s="90">
        <v>1.1384000000000001</v>
      </c>
      <c r="AL13" s="37">
        <f t="shared" si="11"/>
        <v>9.1676256233218387E-2</v>
      </c>
      <c r="AM13" s="52">
        <v>19262.900000000001</v>
      </c>
      <c r="AN13" s="87">
        <v>19909.41</v>
      </c>
      <c r="AO13" s="20">
        <f t="shared" si="12"/>
        <v>3.3562443868783952E-2</v>
      </c>
      <c r="AP13" s="61">
        <v>3825.33</v>
      </c>
      <c r="AQ13" s="88">
        <v>3786.85</v>
      </c>
      <c r="AR13" s="24">
        <f t="shared" si="13"/>
        <v>-1.0059262860981933E-2</v>
      </c>
      <c r="AS13" s="70">
        <v>1807.3</v>
      </c>
      <c r="AT13" s="89">
        <v>1807.93</v>
      </c>
      <c r="AU13" s="28">
        <f t="shared" si="14"/>
        <v>3.4858628893936214E-4</v>
      </c>
      <c r="AV13" s="79">
        <v>1.0427999999999999</v>
      </c>
      <c r="AW13" s="90">
        <v>1.0486</v>
      </c>
      <c r="AX13" s="37">
        <f t="shared" si="15"/>
        <v>5.5619485999233104E-3</v>
      </c>
      <c r="AY13" s="52">
        <v>19262.900000000001</v>
      </c>
      <c r="AZ13" s="87">
        <v>67559.95</v>
      </c>
      <c r="BA13" s="20">
        <f t="shared" si="16"/>
        <v>2.5072574742120861</v>
      </c>
      <c r="BB13" s="61">
        <v>3825.33</v>
      </c>
      <c r="BC13" s="88">
        <v>5243.09</v>
      </c>
      <c r="BD13" s="24">
        <f t="shared" si="17"/>
        <v>0.37062423372624065</v>
      </c>
      <c r="BE13" s="70">
        <v>1807.3</v>
      </c>
      <c r="BF13" s="89">
        <v>1892.46</v>
      </c>
      <c r="BG13" s="28">
        <f t="shared" si="18"/>
        <v>4.7120013279477721E-2</v>
      </c>
      <c r="BH13" s="79">
        <v>1.0427999999999999</v>
      </c>
      <c r="BI13" s="90">
        <v>1.1371</v>
      </c>
      <c r="BJ13" s="37">
        <f t="shared" si="19"/>
        <v>9.0429612581511373E-2</v>
      </c>
    </row>
    <row r="14" spans="1:62" x14ac:dyDescent="0.35">
      <c r="A14" s="301"/>
      <c r="B14" s="2" t="s">
        <v>21</v>
      </c>
      <c r="C14" s="52">
        <v>19311.900000000001</v>
      </c>
      <c r="D14" s="87">
        <v>108232.08</v>
      </c>
      <c r="E14" s="20">
        <f t="shared" si="0"/>
        <v>4.604424215121246</v>
      </c>
      <c r="F14" s="61">
        <v>3585.62</v>
      </c>
      <c r="G14" s="88">
        <v>4963.71</v>
      </c>
      <c r="H14" s="24">
        <f t="shared" si="1"/>
        <v>0.38433799454487655</v>
      </c>
      <c r="I14" s="70">
        <v>1663.6</v>
      </c>
      <c r="J14" s="89">
        <v>1948.08</v>
      </c>
      <c r="K14" s="28">
        <f t="shared" si="2"/>
        <v>0.17100264486655448</v>
      </c>
      <c r="L14" s="79">
        <v>0.97989999999999999</v>
      </c>
      <c r="M14" s="90">
        <v>1.1406000000000001</v>
      </c>
      <c r="N14" s="32">
        <f t="shared" si="3"/>
        <v>0.16399632615573023</v>
      </c>
      <c r="O14" s="52">
        <v>19311.900000000001</v>
      </c>
      <c r="P14" s="87">
        <v>19471.509999999998</v>
      </c>
      <c r="Q14" s="20">
        <f t="shared" si="4"/>
        <v>8.2648522413639736E-3</v>
      </c>
      <c r="R14" s="61">
        <v>3585.62</v>
      </c>
      <c r="S14" s="88">
        <v>3592.93</v>
      </c>
      <c r="T14" s="24">
        <f t="shared" si="5"/>
        <v>2.0386990255520511E-3</v>
      </c>
      <c r="U14" s="70">
        <v>1663.6</v>
      </c>
      <c r="V14" s="89">
        <v>1663.93</v>
      </c>
      <c r="W14" s="28">
        <f t="shared" si="6"/>
        <v>1.9836499158460845E-4</v>
      </c>
      <c r="X14" s="79">
        <v>0.97989999999999999</v>
      </c>
      <c r="Y14" s="90">
        <v>0.98019999999999996</v>
      </c>
      <c r="Z14" s="37">
        <f t="shared" si="7"/>
        <v>3.0615368915192057E-4</v>
      </c>
      <c r="AA14" s="52">
        <v>19311.900000000001</v>
      </c>
      <c r="AB14" s="87">
        <v>103914.82</v>
      </c>
      <c r="AC14" s="20">
        <f t="shared" si="8"/>
        <v>4.3808698263764834</v>
      </c>
      <c r="AD14" s="61">
        <v>3585.62</v>
      </c>
      <c r="AE14" s="88">
        <v>4955.55</v>
      </c>
      <c r="AF14" s="24">
        <f t="shared" si="9"/>
        <v>0.38206223749309753</v>
      </c>
      <c r="AG14" s="70">
        <v>1663.6</v>
      </c>
      <c r="AH14" s="89">
        <v>1945.91</v>
      </c>
      <c r="AI14" s="28">
        <f t="shared" si="10"/>
        <v>0.16969824477037762</v>
      </c>
      <c r="AJ14" s="79">
        <v>0.97989999999999999</v>
      </c>
      <c r="AK14" s="90">
        <v>1.1389</v>
      </c>
      <c r="AL14" s="37">
        <f t="shared" si="11"/>
        <v>0.16226145525053581</v>
      </c>
      <c r="AM14" s="52">
        <v>19311.900000000001</v>
      </c>
      <c r="AN14" s="87">
        <v>19388.490000000002</v>
      </c>
      <c r="AO14" s="20">
        <f t="shared" si="12"/>
        <v>3.965948456651088E-3</v>
      </c>
      <c r="AP14" s="61">
        <v>3585.62</v>
      </c>
      <c r="AQ14" s="88">
        <v>3593.35</v>
      </c>
      <c r="AR14" s="24">
        <f t="shared" si="13"/>
        <v>2.1558335796877581E-3</v>
      </c>
      <c r="AS14" s="70">
        <v>1663.6</v>
      </c>
      <c r="AT14" s="89">
        <v>1662.95</v>
      </c>
      <c r="AU14" s="28">
        <f t="shared" si="14"/>
        <v>-3.9071892281790312E-4</v>
      </c>
      <c r="AV14" s="79">
        <v>0.97989999999999999</v>
      </c>
      <c r="AW14" s="90">
        <v>0.9798</v>
      </c>
      <c r="AX14" s="37">
        <f t="shared" si="15"/>
        <v>-1.0205122971730685E-4</v>
      </c>
      <c r="AY14" s="52">
        <v>19311.900000000001</v>
      </c>
      <c r="AZ14" s="87">
        <v>72169.69</v>
      </c>
      <c r="BA14" s="20">
        <f t="shared" si="16"/>
        <v>2.7370579797948413</v>
      </c>
      <c r="BB14" s="61">
        <v>3585.62</v>
      </c>
      <c r="BC14" s="88">
        <v>5363.7</v>
      </c>
      <c r="BD14" s="24">
        <f t="shared" si="17"/>
        <v>0.49589192385138414</v>
      </c>
      <c r="BE14" s="70">
        <v>1663.6</v>
      </c>
      <c r="BF14" s="89">
        <v>1867.68</v>
      </c>
      <c r="BG14" s="28">
        <f t="shared" si="18"/>
        <v>0.12267371964414532</v>
      </c>
      <c r="BH14" s="79">
        <v>0.97989999999999999</v>
      </c>
      <c r="BI14" s="90">
        <v>1.1193</v>
      </c>
      <c r="BJ14" s="37">
        <f t="shared" si="19"/>
        <v>0.14225941422594141</v>
      </c>
    </row>
    <row r="15" spans="1:62" ht="15" thickBot="1" x14ac:dyDescent="0.4">
      <c r="A15" s="302"/>
      <c r="B15" s="3" t="s">
        <v>22</v>
      </c>
      <c r="C15" s="53">
        <v>16618.400000000001</v>
      </c>
      <c r="D15" s="54">
        <v>144135.22</v>
      </c>
      <c r="E15" s="20">
        <f t="shared" si="0"/>
        <v>7.6732308766186872</v>
      </c>
      <c r="F15" s="62">
        <v>3839.5</v>
      </c>
      <c r="G15" s="63">
        <v>5031.62</v>
      </c>
      <c r="H15" s="24">
        <f t="shared" si="1"/>
        <v>0.31048834483656723</v>
      </c>
      <c r="I15" s="71">
        <v>1826</v>
      </c>
      <c r="J15" s="72">
        <v>1989.96</v>
      </c>
      <c r="K15" s="28">
        <f t="shared" si="2"/>
        <v>8.9791894852135831E-2</v>
      </c>
      <c r="L15" s="80">
        <v>1.0702</v>
      </c>
      <c r="M15" s="81">
        <v>1.1418999999999999</v>
      </c>
      <c r="N15" s="32">
        <f t="shared" si="3"/>
        <v>6.6996823023733762E-2</v>
      </c>
      <c r="O15" s="53">
        <v>16618.400000000001</v>
      </c>
      <c r="P15" s="54">
        <v>16573.54</v>
      </c>
      <c r="Q15" s="20">
        <f t="shared" si="4"/>
        <v>-2.6994175131180246E-3</v>
      </c>
      <c r="R15" s="62">
        <v>3839.5</v>
      </c>
      <c r="S15" s="63">
        <v>3841.19</v>
      </c>
      <c r="T15" s="24">
        <f t="shared" si="5"/>
        <v>4.4016147935930578E-4</v>
      </c>
      <c r="U15" s="71">
        <v>1826</v>
      </c>
      <c r="V15" s="72">
        <v>1826.4</v>
      </c>
      <c r="W15" s="28">
        <f t="shared" si="6"/>
        <v>2.1905805038340139E-4</v>
      </c>
      <c r="X15" s="80">
        <v>1.0702</v>
      </c>
      <c r="Y15" s="81">
        <v>1.0703</v>
      </c>
      <c r="Z15" s="37">
        <f>(Y15-X15)/X15</f>
        <v>9.3440478415239187E-5</v>
      </c>
      <c r="AA15" s="53">
        <v>16618.400000000001</v>
      </c>
      <c r="AB15" s="54">
        <v>132818.15</v>
      </c>
      <c r="AC15" s="20">
        <f t="shared" si="8"/>
        <v>6.9922345111442734</v>
      </c>
      <c r="AD15" s="62">
        <v>3839.5</v>
      </c>
      <c r="AE15" s="63">
        <v>4996.2</v>
      </c>
      <c r="AF15" s="24">
        <f t="shared" si="9"/>
        <v>0.30126318531058727</v>
      </c>
      <c r="AG15" s="71">
        <v>1826</v>
      </c>
      <c r="AH15" s="72">
        <v>1984.99</v>
      </c>
      <c r="AI15" s="28">
        <f t="shared" si="10"/>
        <v>8.7070098576122676E-2</v>
      </c>
      <c r="AJ15" s="80">
        <v>1.0702</v>
      </c>
      <c r="AK15" s="81">
        <v>1.1385000000000001</v>
      </c>
      <c r="AL15" s="37">
        <f t="shared" si="11"/>
        <v>6.3819846757615428E-2</v>
      </c>
      <c r="AM15" s="53">
        <v>16618.400000000001</v>
      </c>
      <c r="AN15" s="54">
        <v>16519.599999999999</v>
      </c>
      <c r="AO15" s="20">
        <f t="shared" si="12"/>
        <v>-5.9452173494441646E-3</v>
      </c>
      <c r="AP15" s="62">
        <v>3839.5</v>
      </c>
      <c r="AQ15" s="63">
        <v>3842.8</v>
      </c>
      <c r="AR15" s="24">
        <f t="shared" si="13"/>
        <v>8.5948691235842732E-4</v>
      </c>
      <c r="AS15" s="71">
        <v>1826</v>
      </c>
      <c r="AT15" s="72">
        <v>1825.97</v>
      </c>
      <c r="AU15" s="28">
        <f t="shared" si="14"/>
        <v>-1.6429353778736427E-5</v>
      </c>
      <c r="AV15" s="80">
        <v>1.0702</v>
      </c>
      <c r="AW15" s="81">
        <v>1.0697000000000001</v>
      </c>
      <c r="AX15" s="37">
        <f t="shared" si="15"/>
        <v>-4.6720239207619595E-4</v>
      </c>
      <c r="AY15" s="53">
        <v>16618.400000000001</v>
      </c>
      <c r="AZ15" s="54">
        <v>68039.710000000006</v>
      </c>
      <c r="BA15" s="20">
        <f t="shared" si="16"/>
        <v>3.0942395176430946</v>
      </c>
      <c r="BB15" s="62">
        <v>3839.5</v>
      </c>
      <c r="BC15" s="63">
        <v>5426</v>
      </c>
      <c r="BD15" s="24">
        <f t="shared" si="17"/>
        <v>0.41320484438077876</v>
      </c>
      <c r="BE15" s="71">
        <v>1826</v>
      </c>
      <c r="BF15" s="72">
        <v>1841.81</v>
      </c>
      <c r="BG15" s="28">
        <f t="shared" si="18"/>
        <v>8.6582694414019425E-3</v>
      </c>
      <c r="BH15" s="80">
        <v>1.0702</v>
      </c>
      <c r="BI15" s="81">
        <v>1.0961000000000001</v>
      </c>
      <c r="BJ15" s="37">
        <f t="shared" si="19"/>
        <v>2.4201083909549649E-2</v>
      </c>
    </row>
    <row r="16" spans="1:62" x14ac:dyDescent="0.35">
      <c r="A16" s="300" t="s">
        <v>5</v>
      </c>
      <c r="B16" s="1" t="s">
        <v>23</v>
      </c>
      <c r="C16" s="55">
        <v>28456.1</v>
      </c>
      <c r="D16" s="56">
        <v>21036.2</v>
      </c>
      <c r="E16" s="21">
        <f t="shared" si="0"/>
        <v>-0.26074901339255901</v>
      </c>
      <c r="F16" s="64">
        <v>4109.3100000000004</v>
      </c>
      <c r="G16" s="65">
        <v>3881.18</v>
      </c>
      <c r="H16" s="25">
        <f t="shared" si="1"/>
        <v>-5.5515402829185566E-2</v>
      </c>
      <c r="I16" s="73">
        <v>1988.5</v>
      </c>
      <c r="J16" s="74">
        <v>1863.02</v>
      </c>
      <c r="K16" s="29">
        <f t="shared" si="2"/>
        <v>-6.3102841337691742E-2</v>
      </c>
      <c r="L16" s="82">
        <v>1.0839000000000001</v>
      </c>
      <c r="M16" s="83">
        <v>1.0707</v>
      </c>
      <c r="N16" s="33">
        <f t="shared" si="3"/>
        <v>-1.2178245225574407E-2</v>
      </c>
      <c r="O16" s="55">
        <v>28456.1</v>
      </c>
      <c r="P16" s="56">
        <v>28538.720000000001</v>
      </c>
      <c r="Q16" s="21">
        <f t="shared" si="4"/>
        <v>2.9034196534311668E-3</v>
      </c>
      <c r="R16" s="64">
        <v>4109.3100000000004</v>
      </c>
      <c r="S16" s="65">
        <v>4105.2</v>
      </c>
      <c r="T16" s="25">
        <f t="shared" si="5"/>
        <v>-1.0001679114013257E-3</v>
      </c>
      <c r="U16" s="73">
        <v>1988.5</v>
      </c>
      <c r="V16" s="74">
        <v>1988.27</v>
      </c>
      <c r="W16" s="29">
        <f t="shared" si="6"/>
        <v>-1.1566507417652411E-4</v>
      </c>
      <c r="X16" s="82">
        <v>1.0839000000000001</v>
      </c>
      <c r="Y16" s="83">
        <v>1.0840000000000001</v>
      </c>
      <c r="Z16" s="33">
        <f t="shared" ref="Z16:Z27" si="20">(Y16-X16)/X16</f>
        <v>9.2259433527067976E-5</v>
      </c>
      <c r="AA16" s="55">
        <v>28456.1</v>
      </c>
      <c r="AB16" s="56">
        <v>21232.53</v>
      </c>
      <c r="AC16" s="21">
        <f t="shared" si="8"/>
        <v>-0.25384961396677691</v>
      </c>
      <c r="AD16" s="64">
        <v>4109.3100000000004</v>
      </c>
      <c r="AE16" s="65">
        <v>3874.08</v>
      </c>
      <c r="AF16" s="25">
        <f t="shared" si="9"/>
        <v>-5.7243186812384668E-2</v>
      </c>
      <c r="AG16" s="73">
        <v>1988.5</v>
      </c>
      <c r="AH16" s="74">
        <v>1862.53</v>
      </c>
      <c r="AI16" s="29">
        <f t="shared" si="10"/>
        <v>-6.3349258234850409E-2</v>
      </c>
      <c r="AJ16" s="82">
        <v>1.0839000000000001</v>
      </c>
      <c r="AK16" s="83">
        <v>1.0709</v>
      </c>
      <c r="AL16" s="33">
        <f t="shared" si="11"/>
        <v>-1.199372635852027E-2</v>
      </c>
      <c r="AM16" s="55">
        <v>28456.1</v>
      </c>
      <c r="AN16" s="56">
        <v>28422.71</v>
      </c>
      <c r="AO16" s="21">
        <f t="shared" si="12"/>
        <v>-1.1733863740990304E-3</v>
      </c>
      <c r="AP16" s="64">
        <v>4109.3100000000004</v>
      </c>
      <c r="AQ16" s="65">
        <v>4107.01</v>
      </c>
      <c r="AR16" s="25">
        <f t="shared" si="13"/>
        <v>-5.5970467061384555E-4</v>
      </c>
      <c r="AS16" s="73">
        <v>1988.5</v>
      </c>
      <c r="AT16" s="74">
        <v>1985.48</v>
      </c>
      <c r="AU16" s="29">
        <f t="shared" si="14"/>
        <v>-1.5187327131003178E-3</v>
      </c>
      <c r="AV16" s="82">
        <v>1.0839000000000001</v>
      </c>
      <c r="AW16" s="83">
        <v>1.0834999999999999</v>
      </c>
      <c r="AX16" s="33">
        <f t="shared" si="15"/>
        <v>-3.6903773410847676E-4</v>
      </c>
      <c r="AY16" s="55">
        <v>28456.1</v>
      </c>
      <c r="AZ16" s="56">
        <v>15127.29</v>
      </c>
      <c r="BA16" s="21">
        <f t="shared" si="16"/>
        <v>-0.4683990427360038</v>
      </c>
      <c r="BB16" s="64">
        <v>4109.3100000000004</v>
      </c>
      <c r="BC16" s="65">
        <v>3856.45</v>
      </c>
      <c r="BD16" s="25">
        <f t="shared" si="17"/>
        <v>-6.1533444787567879E-2</v>
      </c>
      <c r="BE16" s="73">
        <v>1988.5</v>
      </c>
      <c r="BF16" s="74">
        <v>1827.48</v>
      </c>
      <c r="BG16" s="29">
        <f t="shared" si="18"/>
        <v>-8.097560975609755E-2</v>
      </c>
      <c r="BH16" s="82">
        <v>1.0839000000000001</v>
      </c>
      <c r="BI16" s="83">
        <v>1.0532999999999999</v>
      </c>
      <c r="BJ16" s="38">
        <f t="shared" si="19"/>
        <v>-2.8231386659286078E-2</v>
      </c>
    </row>
    <row r="17" spans="1:62" x14ac:dyDescent="0.35">
      <c r="A17" s="301"/>
      <c r="B17" s="2" t="s">
        <v>24</v>
      </c>
      <c r="C17" s="52">
        <v>30586.799999999999</v>
      </c>
      <c r="D17" s="87">
        <v>26742.12</v>
      </c>
      <c r="E17" s="20">
        <f t="shared" si="0"/>
        <v>-0.12569735964533721</v>
      </c>
      <c r="F17" s="61">
        <v>4450.38</v>
      </c>
      <c r="G17" s="88">
        <v>3922.19</v>
      </c>
      <c r="H17" s="24">
        <f t="shared" si="1"/>
        <v>-0.11868424718788059</v>
      </c>
      <c r="I17" s="70">
        <v>1917.9</v>
      </c>
      <c r="J17" s="89">
        <v>1900.8</v>
      </c>
      <c r="K17" s="28">
        <f t="shared" si="2"/>
        <v>-8.9160018770530966E-3</v>
      </c>
      <c r="L17" s="79">
        <v>1.091</v>
      </c>
      <c r="M17" s="90">
        <v>1.0711999999999999</v>
      </c>
      <c r="N17" s="32">
        <f t="shared" si="3"/>
        <v>-1.81484876260312E-2</v>
      </c>
      <c r="O17" s="52">
        <v>30586.799999999999</v>
      </c>
      <c r="P17" s="87">
        <v>30549.919999999998</v>
      </c>
      <c r="Q17" s="20">
        <f t="shared" si="4"/>
        <v>-1.2057488851400283E-3</v>
      </c>
      <c r="R17" s="61">
        <v>4450.38</v>
      </c>
      <c r="S17" s="88">
        <v>4445.8900000000003</v>
      </c>
      <c r="T17" s="24">
        <f t="shared" si="5"/>
        <v>-1.0089026105635432E-3</v>
      </c>
      <c r="U17" s="70">
        <v>1917.9</v>
      </c>
      <c r="V17" s="89">
        <v>1918.35</v>
      </c>
      <c r="W17" s="28">
        <f t="shared" si="6"/>
        <v>2.3463162834340585E-4</v>
      </c>
      <c r="X17" s="79">
        <v>1.091</v>
      </c>
      <c r="Y17" s="90">
        <v>1.0908</v>
      </c>
      <c r="Z17" s="32">
        <f t="shared" si="20"/>
        <v>-1.8331805682857743E-4</v>
      </c>
      <c r="AA17" s="52">
        <v>30586.799999999999</v>
      </c>
      <c r="AB17" s="87">
        <v>27310.98</v>
      </c>
      <c r="AC17" s="20">
        <f t="shared" si="8"/>
        <v>-0.10709914080583781</v>
      </c>
      <c r="AD17" s="61">
        <v>4450.38</v>
      </c>
      <c r="AE17" s="88">
        <v>3917.3</v>
      </c>
      <c r="AF17" s="24">
        <f t="shared" si="9"/>
        <v>-0.11978302976375049</v>
      </c>
      <c r="AG17" s="70">
        <v>1917.9</v>
      </c>
      <c r="AH17" s="89">
        <v>1901.01</v>
      </c>
      <c r="AI17" s="28">
        <f t="shared" si="10"/>
        <v>-8.8065071171594452E-3</v>
      </c>
      <c r="AJ17" s="79">
        <v>1.091</v>
      </c>
      <c r="AK17" s="90">
        <v>1.0712999999999999</v>
      </c>
      <c r="AL17" s="32">
        <f t="shared" si="11"/>
        <v>-1.8056828597616911E-2</v>
      </c>
      <c r="AM17" s="52">
        <v>30586.799999999999</v>
      </c>
      <c r="AN17" s="87">
        <v>30468.25</v>
      </c>
      <c r="AO17" s="20">
        <f t="shared" si="12"/>
        <v>-3.8758549439627315E-3</v>
      </c>
      <c r="AP17" s="61">
        <v>4450.38</v>
      </c>
      <c r="AQ17" s="88">
        <v>4449.25</v>
      </c>
      <c r="AR17" s="24">
        <f t="shared" si="13"/>
        <v>-2.5391090199041637E-4</v>
      </c>
      <c r="AS17" s="70">
        <v>1917.9</v>
      </c>
      <c r="AT17" s="89">
        <v>1918.81</v>
      </c>
      <c r="AU17" s="28">
        <f t="shared" si="14"/>
        <v>4.7447729287233663E-4</v>
      </c>
      <c r="AV17" s="79">
        <v>1.091</v>
      </c>
      <c r="AW17" s="90">
        <v>1.091</v>
      </c>
      <c r="AX17" s="32">
        <f t="shared" si="15"/>
        <v>0</v>
      </c>
      <c r="AY17" s="52">
        <v>30586.799999999999</v>
      </c>
      <c r="AZ17" s="87">
        <v>14090.44</v>
      </c>
      <c r="BA17" s="20">
        <f t="shared" si="16"/>
        <v>-0.53932938391724539</v>
      </c>
      <c r="BB17" s="61">
        <v>4450.38</v>
      </c>
      <c r="BC17" s="88">
        <v>3858.16</v>
      </c>
      <c r="BD17" s="24">
        <f t="shared" si="17"/>
        <v>-0.13307178263429195</v>
      </c>
      <c r="BE17" s="70">
        <v>1917.9</v>
      </c>
      <c r="BF17" s="89">
        <v>1849.97</v>
      </c>
      <c r="BG17" s="28">
        <f t="shared" si="18"/>
        <v>-3.5418947807497818E-2</v>
      </c>
      <c r="BH17" s="79">
        <v>1.091</v>
      </c>
      <c r="BI17" s="90">
        <v>1.0405</v>
      </c>
      <c r="BJ17" s="37">
        <f t="shared" si="19"/>
        <v>-4.6287809349220888E-2</v>
      </c>
    </row>
    <row r="18" spans="1:62" x14ac:dyDescent="0.35">
      <c r="A18" s="301"/>
      <c r="B18" s="2" t="s">
        <v>25</v>
      </c>
      <c r="C18" s="52">
        <v>27974.5</v>
      </c>
      <c r="D18" s="87">
        <v>34085.5</v>
      </c>
      <c r="E18" s="20">
        <f t="shared" si="0"/>
        <v>0.21844894457452321</v>
      </c>
      <c r="F18" s="61">
        <v>4288.05</v>
      </c>
      <c r="G18" s="88">
        <v>3964.1</v>
      </c>
      <c r="H18" s="24">
        <f t="shared" si="1"/>
        <v>-7.5547160131061969E-2</v>
      </c>
      <c r="I18" s="70">
        <v>1869.5</v>
      </c>
      <c r="J18" s="89">
        <v>1939.78</v>
      </c>
      <c r="K18" s="28">
        <f t="shared" si="2"/>
        <v>3.7592939288579819E-2</v>
      </c>
      <c r="L18" s="79">
        <v>1.0569999999999999</v>
      </c>
      <c r="M18" s="90">
        <v>1.0716000000000001</v>
      </c>
      <c r="N18" s="32">
        <f t="shared" si="3"/>
        <v>1.381267738883649E-2</v>
      </c>
      <c r="O18" s="52">
        <v>27974.5</v>
      </c>
      <c r="P18" s="87">
        <v>27044.13</v>
      </c>
      <c r="Q18" s="20">
        <f t="shared" si="4"/>
        <v>-3.3257788342955154E-2</v>
      </c>
      <c r="R18" s="61">
        <v>4288.05</v>
      </c>
      <c r="S18" s="88">
        <v>4289.28</v>
      </c>
      <c r="T18" s="24">
        <f t="shared" si="5"/>
        <v>2.8684367019963933E-4</v>
      </c>
      <c r="U18" s="70">
        <v>1869.5</v>
      </c>
      <c r="V18" s="89">
        <v>1869.9</v>
      </c>
      <c r="W18" s="28">
        <f t="shared" si="6"/>
        <v>2.139609521262856E-4</v>
      </c>
      <c r="X18" s="79">
        <v>1.0569999999999999</v>
      </c>
      <c r="Y18" s="90">
        <v>1.0570999999999999</v>
      </c>
      <c r="Z18" s="32">
        <f t="shared" si="20"/>
        <v>9.4607379375580888E-5</v>
      </c>
      <c r="AA18" s="52">
        <v>27974.5</v>
      </c>
      <c r="AB18" s="87">
        <v>35189.949999999997</v>
      </c>
      <c r="AC18" s="20">
        <f t="shared" si="8"/>
        <v>0.25792954297663934</v>
      </c>
      <c r="AD18" s="61">
        <v>4288.05</v>
      </c>
      <c r="AE18" s="88">
        <v>3968.35</v>
      </c>
      <c r="AF18" s="24">
        <f t="shared" si="9"/>
        <v>-7.4556033628339277E-2</v>
      </c>
      <c r="AG18" s="70">
        <v>1869.5</v>
      </c>
      <c r="AH18" s="89">
        <v>1940.1</v>
      </c>
      <c r="AI18" s="28">
        <f t="shared" si="10"/>
        <v>3.7764108050280777E-2</v>
      </c>
      <c r="AJ18" s="79">
        <v>1.0569999999999999</v>
      </c>
      <c r="AK18" s="90">
        <v>1.0722</v>
      </c>
      <c r="AL18" s="32">
        <f t="shared" si="11"/>
        <v>1.4380321665089974E-2</v>
      </c>
      <c r="AM18" s="52">
        <v>27974.5</v>
      </c>
      <c r="AN18" s="87">
        <v>26927.06</v>
      </c>
      <c r="AO18" s="20">
        <f t="shared" si="12"/>
        <v>-3.7442671003949976E-2</v>
      </c>
      <c r="AP18" s="61">
        <v>4288.05</v>
      </c>
      <c r="AQ18" s="88">
        <v>4292.1099999999997</v>
      </c>
      <c r="AR18" s="24">
        <f t="shared" si="13"/>
        <v>9.4681731789496174E-4</v>
      </c>
      <c r="AS18" s="70">
        <v>1869.5</v>
      </c>
      <c r="AT18" s="89">
        <v>1873.08</v>
      </c>
      <c r="AU18" s="28">
        <f t="shared" si="14"/>
        <v>1.9149505215297819E-3</v>
      </c>
      <c r="AV18" s="79">
        <v>1.0569999999999999</v>
      </c>
      <c r="AW18" s="90">
        <v>1.0569</v>
      </c>
      <c r="AX18" s="32">
        <f t="shared" si="15"/>
        <v>-9.4607379375580888E-5</v>
      </c>
      <c r="AY18" s="52">
        <v>27974.5</v>
      </c>
      <c r="AZ18" s="87">
        <v>13445.56</v>
      </c>
      <c r="BA18" s="20">
        <f t="shared" si="16"/>
        <v>-0.51936370623246175</v>
      </c>
      <c r="BB18" s="61">
        <v>4288.05</v>
      </c>
      <c r="BC18" s="88">
        <v>3873.06</v>
      </c>
      <c r="BD18" s="24">
        <f t="shared" si="17"/>
        <v>-9.677825585056149E-2</v>
      </c>
      <c r="BE18" s="70">
        <v>1869.5</v>
      </c>
      <c r="BF18" s="89">
        <v>1866.45</v>
      </c>
      <c r="BG18" s="28">
        <f t="shared" si="18"/>
        <v>-1.6314522599625324E-3</v>
      </c>
      <c r="BH18" s="79">
        <v>1.0569999999999999</v>
      </c>
      <c r="BI18" s="90">
        <v>1.0299</v>
      </c>
      <c r="BJ18" s="37">
        <f t="shared" si="19"/>
        <v>-2.5638599810785149E-2</v>
      </c>
    </row>
    <row r="19" spans="1:62" ht="15" thickBot="1" x14ac:dyDescent="0.4">
      <c r="A19" s="302"/>
      <c r="B19" s="3" t="s">
        <v>26</v>
      </c>
      <c r="C19" s="53">
        <v>44183.4</v>
      </c>
      <c r="D19" s="54">
        <v>43445.38</v>
      </c>
      <c r="E19" s="20">
        <f t="shared" si="0"/>
        <v>-1.6703558349968631E-2</v>
      </c>
      <c r="F19" s="62">
        <v>4769.83</v>
      </c>
      <c r="G19" s="63">
        <v>4006.46</v>
      </c>
      <c r="H19" s="24">
        <f t="shared" si="1"/>
        <v>-0.16004134319252467</v>
      </c>
      <c r="I19" s="71">
        <v>2083.5</v>
      </c>
      <c r="J19" s="72">
        <v>1979.55</v>
      </c>
      <c r="K19" s="28">
        <f t="shared" si="2"/>
        <v>-4.9892008639308878E-2</v>
      </c>
      <c r="L19" s="80">
        <v>1.1044</v>
      </c>
      <c r="M19" s="81">
        <v>1.0721000000000001</v>
      </c>
      <c r="N19" s="32">
        <f t="shared" si="3"/>
        <v>-2.9246649764578046E-2</v>
      </c>
      <c r="O19" s="53">
        <v>44183.4</v>
      </c>
      <c r="P19" s="54">
        <v>42388.9</v>
      </c>
      <c r="Q19" s="20">
        <f t="shared" si="4"/>
        <v>-4.0614801033872446E-2</v>
      </c>
      <c r="R19" s="62">
        <v>4769.83</v>
      </c>
      <c r="S19" s="63">
        <v>4770.22</v>
      </c>
      <c r="T19" s="24">
        <f t="shared" si="5"/>
        <v>8.1763920307500979E-5</v>
      </c>
      <c r="U19" s="71">
        <v>2083.5</v>
      </c>
      <c r="V19" s="72">
        <v>2083.9699999999998</v>
      </c>
      <c r="W19" s="28">
        <f t="shared" si="6"/>
        <v>2.2558195344362847E-4</v>
      </c>
      <c r="X19" s="80">
        <v>1.1044</v>
      </c>
      <c r="Y19" s="81">
        <v>1.1035999999999999</v>
      </c>
      <c r="Z19" s="32">
        <f t="shared" si="20"/>
        <v>-7.2437522636737946E-4</v>
      </c>
      <c r="AA19" s="53">
        <v>44183.4</v>
      </c>
      <c r="AB19" s="54">
        <v>44912.28</v>
      </c>
      <c r="AC19" s="20">
        <f t="shared" si="8"/>
        <v>1.6496693328263496E-2</v>
      </c>
      <c r="AD19" s="62">
        <v>4769.83</v>
      </c>
      <c r="AE19" s="63">
        <v>4012.23</v>
      </c>
      <c r="AF19" s="24">
        <f t="shared" si="9"/>
        <v>-0.15883165647413008</v>
      </c>
      <c r="AG19" s="71">
        <v>2083.5</v>
      </c>
      <c r="AH19" s="72">
        <v>1980.44</v>
      </c>
      <c r="AI19" s="28">
        <f t="shared" si="10"/>
        <v>-4.9464842812574968E-2</v>
      </c>
      <c r="AJ19" s="80">
        <v>1.1044</v>
      </c>
      <c r="AK19" s="81">
        <v>1.0726</v>
      </c>
      <c r="AL19" s="32">
        <f t="shared" si="11"/>
        <v>-2.8793915248098559E-2</v>
      </c>
      <c r="AM19" s="53">
        <v>44183.4</v>
      </c>
      <c r="AN19" s="54">
        <v>42253.35</v>
      </c>
      <c r="AO19" s="20">
        <f t="shared" si="12"/>
        <v>-4.3682695310908688E-2</v>
      </c>
      <c r="AP19" s="62">
        <v>4769.83</v>
      </c>
      <c r="AQ19" s="63">
        <v>4768.49</v>
      </c>
      <c r="AR19" s="24">
        <f t="shared" si="13"/>
        <v>-2.8093244413325959E-4</v>
      </c>
      <c r="AS19" s="71">
        <v>2083.5</v>
      </c>
      <c r="AT19" s="72">
        <v>2083.83</v>
      </c>
      <c r="AU19" s="28">
        <f t="shared" si="14"/>
        <v>1.5838732901364398E-4</v>
      </c>
      <c r="AV19" s="80">
        <v>1.1044</v>
      </c>
      <c r="AW19" s="81">
        <v>1.1032999999999999</v>
      </c>
      <c r="AX19" s="32">
        <f t="shared" si="15"/>
        <v>-9.9601593625507135E-4</v>
      </c>
      <c r="AY19" s="53">
        <v>44183.4</v>
      </c>
      <c r="AZ19" s="54">
        <v>12467.87</v>
      </c>
      <c r="BA19" s="20">
        <f t="shared" si="16"/>
        <v>-0.71781551442396918</v>
      </c>
      <c r="BB19" s="62">
        <v>4769.83</v>
      </c>
      <c r="BC19" s="63">
        <v>3846.89</v>
      </c>
      <c r="BD19" s="24">
        <f t="shared" si="17"/>
        <v>-0.19349536566292722</v>
      </c>
      <c r="BE19" s="71">
        <v>2083.5</v>
      </c>
      <c r="BF19" s="72">
        <v>1888.02</v>
      </c>
      <c r="BG19" s="28">
        <f t="shared" si="18"/>
        <v>-9.3822894168466536E-2</v>
      </c>
      <c r="BH19" s="80">
        <v>1.1044</v>
      </c>
      <c r="BI19" s="81">
        <v>1.0207999999999999</v>
      </c>
      <c r="BJ19" s="37">
        <f t="shared" si="19"/>
        <v>-7.5697211155378585E-2</v>
      </c>
    </row>
    <row r="20" spans="1:62" x14ac:dyDescent="0.35">
      <c r="A20" s="300" t="s">
        <v>6</v>
      </c>
      <c r="B20" s="1" t="s">
        <v>27</v>
      </c>
      <c r="C20" s="55">
        <v>69664.399999999994</v>
      </c>
      <c r="D20" s="56">
        <v>53807.040000000001</v>
      </c>
      <c r="E20" s="21">
        <f t="shared" si="0"/>
        <v>-0.22762501363680723</v>
      </c>
      <c r="F20" s="64">
        <v>5243.77</v>
      </c>
      <c r="G20" s="65">
        <v>4829.41</v>
      </c>
      <c r="H20" s="25">
        <f t="shared" si="1"/>
        <v>-7.9019484073481583E-2</v>
      </c>
      <c r="I20" s="73">
        <v>2245.9</v>
      </c>
      <c r="J20" s="74">
        <v>2127.46</v>
      </c>
      <c r="K20" s="29">
        <f t="shared" si="2"/>
        <v>-5.2736096887661982E-2</v>
      </c>
      <c r="L20" s="82">
        <v>1.0743</v>
      </c>
      <c r="M20" s="83">
        <v>1.1044</v>
      </c>
      <c r="N20" s="33">
        <f t="shared" si="3"/>
        <v>2.8018244438238867E-2</v>
      </c>
      <c r="O20" s="55">
        <v>69664.399999999994</v>
      </c>
      <c r="P20" s="56">
        <v>71570.740000000005</v>
      </c>
      <c r="Q20" s="21">
        <f t="shared" si="4"/>
        <v>2.7364622389628147E-2</v>
      </c>
      <c r="R20" s="64">
        <v>5243.77</v>
      </c>
      <c r="S20" s="65">
        <v>5255.05</v>
      </c>
      <c r="T20" s="25">
        <f t="shared" si="5"/>
        <v>2.1511240958317669E-3</v>
      </c>
      <c r="U20" s="73">
        <v>2245.9</v>
      </c>
      <c r="V20" s="74">
        <v>2201.92</v>
      </c>
      <c r="W20" s="29">
        <f t="shared" si="6"/>
        <v>-1.9582350060109541E-2</v>
      </c>
      <c r="X20" s="82">
        <v>1.0743</v>
      </c>
      <c r="Y20" s="83">
        <v>1.0792999999999999</v>
      </c>
      <c r="Z20" s="33">
        <f t="shared" si="20"/>
        <v>4.6541934282787797E-3</v>
      </c>
      <c r="AA20" s="55">
        <v>69664.399999999994</v>
      </c>
      <c r="AB20" s="56">
        <v>53844.160000000003</v>
      </c>
      <c r="AC20" s="21">
        <f t="shared" si="8"/>
        <v>-0.22709217333386914</v>
      </c>
      <c r="AD20" s="64">
        <v>5243.77</v>
      </c>
      <c r="AE20" s="65">
        <v>4834.97</v>
      </c>
      <c r="AF20" s="25">
        <f t="shared" si="9"/>
        <v>-7.7959178224826828E-2</v>
      </c>
      <c r="AG20" s="73">
        <v>2245.9</v>
      </c>
      <c r="AH20" s="74">
        <v>2126.9699999999998</v>
      </c>
      <c r="AI20" s="29">
        <f t="shared" si="10"/>
        <v>-5.2954272229395916E-2</v>
      </c>
      <c r="AJ20" s="82">
        <v>1.0743</v>
      </c>
      <c r="AK20" s="83">
        <v>1.1043000000000001</v>
      </c>
      <c r="AL20" s="33">
        <f t="shared" si="11"/>
        <v>2.7925160569673299E-2</v>
      </c>
      <c r="AM20" s="55">
        <v>69664.399999999994</v>
      </c>
      <c r="AN20" s="56">
        <v>71257.13</v>
      </c>
      <c r="AO20" s="21">
        <f t="shared" si="12"/>
        <v>2.2862896974638561E-2</v>
      </c>
      <c r="AP20" s="64">
        <v>5243.77</v>
      </c>
      <c r="AQ20" s="65">
        <v>5252.94</v>
      </c>
      <c r="AR20" s="25">
        <f t="shared" si="13"/>
        <v>1.7487418403170168E-3</v>
      </c>
      <c r="AS20" s="73">
        <v>2245.9</v>
      </c>
      <c r="AT20" s="74">
        <v>2202.5</v>
      </c>
      <c r="AU20" s="29">
        <f t="shared" si="14"/>
        <v>-1.9324101696424636E-2</v>
      </c>
      <c r="AV20" s="82">
        <v>1.0743</v>
      </c>
      <c r="AW20" s="83">
        <v>1.0791999999999999</v>
      </c>
      <c r="AX20" s="33">
        <f t="shared" si="15"/>
        <v>4.5611095597132122E-3</v>
      </c>
      <c r="AY20" s="55">
        <v>69664.399999999994</v>
      </c>
      <c r="AZ20" s="56">
        <v>43049.69</v>
      </c>
      <c r="BA20" s="21">
        <f t="shared" si="16"/>
        <v>-0.38204176021037994</v>
      </c>
      <c r="BB20" s="64">
        <v>5243.77</v>
      </c>
      <c r="BC20" s="65">
        <v>4808.3</v>
      </c>
      <c r="BD20" s="25">
        <f t="shared" si="17"/>
        <v>-8.3045213653535566E-2</v>
      </c>
      <c r="BE20" s="73">
        <v>2245.9</v>
      </c>
      <c r="BF20" s="74">
        <v>2112.9299999999998</v>
      </c>
      <c r="BG20" s="29">
        <f t="shared" si="18"/>
        <v>-5.9205663653769204E-2</v>
      </c>
      <c r="BH20" s="82">
        <v>1.0743</v>
      </c>
      <c r="BI20" s="83">
        <v>1.0986</v>
      </c>
      <c r="BJ20" s="38">
        <f t="shared" si="19"/>
        <v>2.2619380061435341E-2</v>
      </c>
    </row>
    <row r="21" spans="1:62" x14ac:dyDescent="0.35">
      <c r="A21" s="301"/>
      <c r="B21" s="2" t="s">
        <v>28</v>
      </c>
      <c r="C21" s="52">
        <v>62890.1</v>
      </c>
      <c r="D21" s="87">
        <v>68383.38</v>
      </c>
      <c r="E21" s="20">
        <f t="shared" si="0"/>
        <v>8.7347293135167633E-2</v>
      </c>
      <c r="F21" s="61">
        <v>5475.09</v>
      </c>
      <c r="G21" s="88">
        <v>4889.32</v>
      </c>
      <c r="H21" s="24">
        <f t="shared" si="1"/>
        <v>-0.1069881956278345</v>
      </c>
      <c r="I21" s="70">
        <v>2338.9</v>
      </c>
      <c r="J21" s="89">
        <v>2171.86</v>
      </c>
      <c r="K21" s="28">
        <f t="shared" si="2"/>
        <v>-7.1418188037111446E-2</v>
      </c>
      <c r="L21" s="79">
        <v>1.0738000000000001</v>
      </c>
      <c r="M21" s="90">
        <v>1.1052999999999999</v>
      </c>
      <c r="N21" s="32">
        <f t="shared" si="3"/>
        <v>2.9335071707952933E-2</v>
      </c>
      <c r="O21" s="52">
        <v>62890.1</v>
      </c>
      <c r="P21" s="87">
        <v>62899.29</v>
      </c>
      <c r="Q21" s="20">
        <f t="shared" si="4"/>
        <v>1.4612792792509995E-4</v>
      </c>
      <c r="R21" s="61">
        <v>5475.09</v>
      </c>
      <c r="S21" s="88">
        <v>5460.88</v>
      </c>
      <c r="T21" s="24">
        <f t="shared" si="5"/>
        <v>-2.5953911259906297E-3</v>
      </c>
      <c r="U21" s="70">
        <v>2338.9</v>
      </c>
      <c r="V21" s="89">
        <v>2337.15</v>
      </c>
      <c r="W21" s="28">
        <f t="shared" si="6"/>
        <v>-7.4821497285048526E-4</v>
      </c>
      <c r="X21" s="79">
        <v>1.0738000000000001</v>
      </c>
      <c r="Y21" s="90">
        <v>1.0712999999999999</v>
      </c>
      <c r="Z21" s="32">
        <f t="shared" si="20"/>
        <v>-2.328180294282146E-3</v>
      </c>
      <c r="AA21" s="52">
        <v>62890.1</v>
      </c>
      <c r="AB21" s="87">
        <v>68781.67</v>
      </c>
      <c r="AC21" s="20">
        <f t="shared" si="8"/>
        <v>9.3680404387972024E-2</v>
      </c>
      <c r="AD21" s="61">
        <v>5475.09</v>
      </c>
      <c r="AE21" s="88">
        <v>4899.67</v>
      </c>
      <c r="AF21" s="24">
        <f t="shared" si="9"/>
        <v>-0.10509781574366815</v>
      </c>
      <c r="AG21" s="70">
        <v>2338.9</v>
      </c>
      <c r="AH21" s="89">
        <v>2173.4699999999998</v>
      </c>
      <c r="AI21" s="28">
        <f t="shared" si="10"/>
        <v>-7.0729830262089136E-2</v>
      </c>
      <c r="AJ21" s="79">
        <v>1.0738000000000001</v>
      </c>
      <c r="AK21" s="90">
        <v>1.1049</v>
      </c>
      <c r="AL21" s="32">
        <f t="shared" si="11"/>
        <v>2.8962562860867857E-2</v>
      </c>
      <c r="AM21" s="52">
        <v>62890.1</v>
      </c>
      <c r="AN21" s="87">
        <v>62754.65</v>
      </c>
      <c r="AO21" s="20">
        <f t="shared" si="12"/>
        <v>-2.1537571096245209E-3</v>
      </c>
      <c r="AP21" s="61">
        <v>5475.09</v>
      </c>
      <c r="AQ21" s="88">
        <v>5461.32</v>
      </c>
      <c r="AR21" s="24">
        <f t="shared" si="13"/>
        <v>-2.515027150238706E-3</v>
      </c>
      <c r="AS21" s="70">
        <v>2338.9</v>
      </c>
      <c r="AT21" s="89">
        <v>2337.16</v>
      </c>
      <c r="AU21" s="28">
        <f t="shared" si="14"/>
        <v>-7.4393945872001216E-4</v>
      </c>
      <c r="AV21" s="79">
        <v>1.0738000000000001</v>
      </c>
      <c r="AW21" s="90">
        <v>1.0713999999999999</v>
      </c>
      <c r="AX21" s="32">
        <f t="shared" si="15"/>
        <v>-2.2350530825108769E-3</v>
      </c>
      <c r="AY21" s="52">
        <v>62890.1</v>
      </c>
      <c r="AZ21" s="87">
        <v>46018.02</v>
      </c>
      <c r="BA21" s="20">
        <f t="shared" si="16"/>
        <v>-0.26827879109748598</v>
      </c>
      <c r="BB21" s="61">
        <v>5475.09</v>
      </c>
      <c r="BC21" s="88">
        <v>4926.2</v>
      </c>
      <c r="BD21" s="24">
        <f t="shared" si="17"/>
        <v>-0.10025223329662167</v>
      </c>
      <c r="BE21" s="70">
        <v>2338.9</v>
      </c>
      <c r="BF21" s="89">
        <v>2164.02</v>
      </c>
      <c r="BG21" s="28">
        <f t="shared" si="18"/>
        <v>-7.477019111548168E-2</v>
      </c>
      <c r="BH21" s="79">
        <v>1.0738000000000001</v>
      </c>
      <c r="BI21" s="90">
        <v>1.0984</v>
      </c>
      <c r="BJ21" s="37">
        <f t="shared" si="19"/>
        <v>2.2909294095734729E-2</v>
      </c>
    </row>
    <row r="22" spans="1:62" x14ac:dyDescent="0.35">
      <c r="A22" s="301"/>
      <c r="B22" s="2" t="s">
        <v>29</v>
      </c>
      <c r="C22" s="52">
        <v>60835.5</v>
      </c>
      <c r="D22" s="87">
        <v>87137.72</v>
      </c>
      <c r="E22" s="20">
        <f t="shared" si="0"/>
        <v>0.43234986151178179</v>
      </c>
      <c r="F22" s="61">
        <v>5708.75</v>
      </c>
      <c r="G22" s="88">
        <v>4950.6400000000003</v>
      </c>
      <c r="H22" s="24">
        <f t="shared" si="1"/>
        <v>-0.13279789796365224</v>
      </c>
      <c r="I22" s="70">
        <v>2678.5</v>
      </c>
      <c r="J22" s="89">
        <v>2217.69</v>
      </c>
      <c r="K22" s="28">
        <f t="shared" si="2"/>
        <v>-0.17204032107522865</v>
      </c>
      <c r="L22" s="79">
        <v>1.1067</v>
      </c>
      <c r="M22" s="90">
        <v>1.1061000000000001</v>
      </c>
      <c r="N22" s="32">
        <f t="shared" si="3"/>
        <v>-5.4215234480883162E-4</v>
      </c>
      <c r="O22" s="52">
        <v>60835.5</v>
      </c>
      <c r="P22" s="87">
        <v>63717.07</v>
      </c>
      <c r="Q22" s="20">
        <f t="shared" si="4"/>
        <v>4.7366586943478721E-2</v>
      </c>
      <c r="R22" s="61">
        <v>5708.75</v>
      </c>
      <c r="S22" s="88">
        <v>5761.03</v>
      </c>
      <c r="T22" s="24">
        <f t="shared" si="5"/>
        <v>9.1578716881978977E-3</v>
      </c>
      <c r="U22" s="70">
        <v>2678.5</v>
      </c>
      <c r="V22" s="89">
        <v>2648.85</v>
      </c>
      <c r="W22" s="28">
        <f t="shared" si="6"/>
        <v>-1.1069628523427326E-2</v>
      </c>
      <c r="X22" s="79">
        <v>1.1067</v>
      </c>
      <c r="Y22" s="90">
        <v>1.1133999999999999</v>
      </c>
      <c r="Z22" s="32">
        <f t="shared" si="20"/>
        <v>6.0540345170325546E-3</v>
      </c>
      <c r="AA22" s="52">
        <v>60835.5</v>
      </c>
      <c r="AB22" s="87">
        <v>87709.21</v>
      </c>
      <c r="AC22" s="20">
        <f t="shared" si="8"/>
        <v>0.4417438830945748</v>
      </c>
      <c r="AD22" s="61">
        <v>5708.75</v>
      </c>
      <c r="AE22" s="88">
        <v>4960.33</v>
      </c>
      <c r="AF22" s="24">
        <f t="shared" si="9"/>
        <v>-0.13110050361287498</v>
      </c>
      <c r="AG22" s="70">
        <v>2678.5</v>
      </c>
      <c r="AH22" s="89">
        <v>2221.94</v>
      </c>
      <c r="AI22" s="28">
        <f t="shared" si="10"/>
        <v>-0.17045361209632254</v>
      </c>
      <c r="AJ22" s="79">
        <v>1.1067</v>
      </c>
      <c r="AK22" s="90">
        <v>1.1054999999999999</v>
      </c>
      <c r="AL22" s="32">
        <f t="shared" si="11"/>
        <v>-1.0843046896178638E-3</v>
      </c>
      <c r="AM22" s="52">
        <v>60835.5</v>
      </c>
      <c r="AN22" s="87">
        <v>63512.62</v>
      </c>
      <c r="AO22" s="20">
        <f t="shared" si="12"/>
        <v>4.4005884721914058E-2</v>
      </c>
      <c r="AP22" s="61">
        <v>5708.75</v>
      </c>
      <c r="AQ22" s="88">
        <v>5765.81</v>
      </c>
      <c r="AR22" s="24">
        <f t="shared" si="13"/>
        <v>9.9951828333698974E-3</v>
      </c>
      <c r="AS22" s="70">
        <v>2678.5</v>
      </c>
      <c r="AT22" s="89">
        <v>2649.99</v>
      </c>
      <c r="AU22" s="28">
        <f t="shared" si="14"/>
        <v>-1.0644017173791383E-2</v>
      </c>
      <c r="AV22" s="79">
        <v>1.1067</v>
      </c>
      <c r="AW22" s="90">
        <v>1.1136999999999999</v>
      </c>
      <c r="AX22" s="32">
        <f t="shared" si="15"/>
        <v>6.3251106894369703E-3</v>
      </c>
      <c r="AY22" s="52">
        <v>60835.5</v>
      </c>
      <c r="AZ22" s="87">
        <v>52969.62</v>
      </c>
      <c r="BA22" s="20">
        <f t="shared" si="16"/>
        <v>-0.12929753186872792</v>
      </c>
      <c r="BB22" s="61">
        <v>5708.75</v>
      </c>
      <c r="BC22" s="88">
        <v>5070.21</v>
      </c>
      <c r="BD22" s="24">
        <f t="shared" si="17"/>
        <v>-0.11185285745566016</v>
      </c>
      <c r="BE22" s="70">
        <v>2678.5</v>
      </c>
      <c r="BF22" s="89">
        <v>2256.85</v>
      </c>
      <c r="BG22" s="28">
        <f t="shared" si="18"/>
        <v>-0.15742019787194328</v>
      </c>
      <c r="BH22" s="79">
        <v>1.1067</v>
      </c>
      <c r="BI22" s="90">
        <v>1.1073</v>
      </c>
      <c r="BJ22" s="37">
        <f t="shared" si="19"/>
        <v>5.4215234480883162E-4</v>
      </c>
    </row>
    <row r="23" spans="1:62" ht="15" thickBot="1" x14ac:dyDescent="0.4">
      <c r="A23" s="302"/>
      <c r="B23" s="3" t="s">
        <v>30</v>
      </c>
      <c r="C23" s="53">
        <v>94560.2</v>
      </c>
      <c r="D23" s="54">
        <v>111035.48</v>
      </c>
      <c r="E23" s="20">
        <f t="shared" si="0"/>
        <v>0.17423059595897639</v>
      </c>
      <c r="F23" s="62">
        <v>5881.63</v>
      </c>
      <c r="G23" s="63">
        <v>5012.7299999999996</v>
      </c>
      <c r="H23" s="24">
        <f t="shared" si="1"/>
        <v>-0.14773115615909205</v>
      </c>
      <c r="I23" s="71">
        <v>2618.1</v>
      </c>
      <c r="J23" s="72">
        <v>2264.4899999999998</v>
      </c>
      <c r="K23" s="28">
        <f t="shared" si="2"/>
        <v>-0.13506359573736684</v>
      </c>
      <c r="L23" s="80">
        <v>1.0355000000000001</v>
      </c>
      <c r="M23" s="81">
        <v>1.1069</v>
      </c>
      <c r="N23" s="32">
        <f t="shared" si="3"/>
        <v>6.8952197006277069E-2</v>
      </c>
      <c r="O23" s="53">
        <v>94560.2</v>
      </c>
      <c r="P23" s="54">
        <v>94031.43</v>
      </c>
      <c r="Q23" s="20">
        <f t="shared" si="4"/>
        <v>-5.5918874960078774E-3</v>
      </c>
      <c r="R23" s="62">
        <v>5881.63</v>
      </c>
      <c r="S23" s="63">
        <v>5885.1</v>
      </c>
      <c r="T23" s="24">
        <f t="shared" si="5"/>
        <v>5.899725076212299E-4</v>
      </c>
      <c r="U23" s="71">
        <v>2618.1</v>
      </c>
      <c r="V23" s="72">
        <v>2618.61</v>
      </c>
      <c r="W23" s="28">
        <f t="shared" si="6"/>
        <v>1.9479775409656557E-4</v>
      </c>
      <c r="X23" s="80">
        <v>1.0355000000000001</v>
      </c>
      <c r="Y23" s="81">
        <v>1.0354000000000001</v>
      </c>
      <c r="Z23" s="32">
        <f t="shared" si="20"/>
        <v>-9.6571704490573619E-5</v>
      </c>
      <c r="AA23" s="53">
        <v>94560.2</v>
      </c>
      <c r="AB23" s="54">
        <v>113093.36</v>
      </c>
      <c r="AC23" s="20">
        <f t="shared" si="8"/>
        <v>0.19599324028502482</v>
      </c>
      <c r="AD23" s="62">
        <v>5881.63</v>
      </c>
      <c r="AE23" s="63">
        <v>5040.38</v>
      </c>
      <c r="AF23" s="24">
        <f t="shared" si="9"/>
        <v>-0.14303007839663495</v>
      </c>
      <c r="AG23" s="71">
        <v>2618.1</v>
      </c>
      <c r="AH23" s="72">
        <v>2273.2800000000002</v>
      </c>
      <c r="AI23" s="28">
        <f t="shared" si="10"/>
        <v>-0.13170619915205672</v>
      </c>
      <c r="AJ23" s="80">
        <v>1.0355000000000001</v>
      </c>
      <c r="AK23" s="81">
        <v>1.1062000000000001</v>
      </c>
      <c r="AL23" s="32">
        <f t="shared" si="11"/>
        <v>6.8276195074843046E-2</v>
      </c>
      <c r="AM23" s="53">
        <v>94560.2</v>
      </c>
      <c r="AN23" s="54">
        <v>63696.25</v>
      </c>
      <c r="AO23" s="20">
        <f t="shared" si="12"/>
        <v>-0.32639471997732661</v>
      </c>
      <c r="AP23" s="62">
        <v>5881.63</v>
      </c>
      <c r="AQ23" s="63">
        <v>5887.85</v>
      </c>
      <c r="AR23" s="24">
        <f t="shared" si="13"/>
        <v>1.0575299704334096E-3</v>
      </c>
      <c r="AS23" s="71">
        <v>2618.1</v>
      </c>
      <c r="AT23" s="72">
        <v>2618.54</v>
      </c>
      <c r="AU23" s="28">
        <f t="shared" si="14"/>
        <v>1.680608074558094E-4</v>
      </c>
      <c r="AV23" s="80">
        <v>1.0355000000000001</v>
      </c>
      <c r="AW23" s="81">
        <v>1.0357000000000001</v>
      </c>
      <c r="AX23" s="32">
        <f t="shared" si="15"/>
        <v>1.9314340898114724E-4</v>
      </c>
      <c r="AY23" s="53">
        <v>94560.2</v>
      </c>
      <c r="AZ23" s="54">
        <v>62812.84</v>
      </c>
      <c r="BA23" s="20">
        <f t="shared" si="16"/>
        <v>-0.33573702255282878</v>
      </c>
      <c r="BB23" s="62">
        <v>5881.63</v>
      </c>
      <c r="BC23" s="63">
        <v>5362.26</v>
      </c>
      <c r="BD23" s="24">
        <f t="shared" si="17"/>
        <v>-8.8303752531186067E-2</v>
      </c>
      <c r="BE23" s="71">
        <v>2618.1</v>
      </c>
      <c r="BF23" s="72">
        <v>2388.04</v>
      </c>
      <c r="BG23" s="28">
        <f t="shared" si="18"/>
        <v>-8.7872884916542507E-2</v>
      </c>
      <c r="BH23" s="80">
        <v>1.0355000000000001</v>
      </c>
      <c r="BI23" s="81">
        <v>1.1184000000000001</v>
      </c>
      <c r="BJ23" s="37">
        <f t="shared" si="19"/>
        <v>8.0057943022694325E-2</v>
      </c>
    </row>
    <row r="24" spans="1:62" x14ac:dyDescent="0.35">
      <c r="A24" s="300" t="s">
        <v>7</v>
      </c>
      <c r="B24" s="1" t="s">
        <v>31</v>
      </c>
      <c r="C24" s="55">
        <v>85164.2</v>
      </c>
      <c r="D24" s="56">
        <v>118701.57</v>
      </c>
      <c r="E24" s="21">
        <f t="shared" si="0"/>
        <v>0.3937965717989485</v>
      </c>
      <c r="F24" s="64">
        <v>5633.07</v>
      </c>
      <c r="G24" s="65">
        <v>5964.96</v>
      </c>
      <c r="H24" s="25">
        <f t="shared" si="1"/>
        <v>5.8918138776901469E-2</v>
      </c>
      <c r="I24" s="73">
        <v>3146</v>
      </c>
      <c r="J24" s="74">
        <v>2676.51</v>
      </c>
      <c r="K24" s="29">
        <f t="shared" si="2"/>
        <v>-0.14923394787031144</v>
      </c>
      <c r="L24" s="82">
        <v>1.0792999999999999</v>
      </c>
      <c r="M24" s="83">
        <v>1.0354000000000001</v>
      </c>
      <c r="N24" s="33">
        <f t="shared" si="3"/>
        <v>-4.0674511257296236E-2</v>
      </c>
      <c r="O24" s="55">
        <v>85164.2</v>
      </c>
      <c r="P24" s="56">
        <v>82781.820000000007</v>
      </c>
      <c r="Q24" s="21">
        <f t="shared" si="4"/>
        <v>-2.7973960889669486E-2</v>
      </c>
      <c r="R24" s="64">
        <v>5633.07</v>
      </c>
      <c r="S24" s="65">
        <v>5609.7</v>
      </c>
      <c r="T24" s="25">
        <f t="shared" si="5"/>
        <v>-4.148714644057307E-3</v>
      </c>
      <c r="U24" s="73">
        <v>3146</v>
      </c>
      <c r="V24" s="74">
        <v>3150.21</v>
      </c>
      <c r="W24" s="29">
        <f t="shared" si="6"/>
        <v>1.3382072472981679E-3</v>
      </c>
      <c r="X24" s="82">
        <v>1.0792999999999999</v>
      </c>
      <c r="Y24" s="83">
        <v>1.0817000000000001</v>
      </c>
      <c r="Z24" s="33">
        <f t="shared" si="20"/>
        <v>2.2236634855926805E-3</v>
      </c>
      <c r="AA24" s="55">
        <v>85164.2</v>
      </c>
      <c r="AB24" s="56">
        <v>118531.81</v>
      </c>
      <c r="AC24" s="21">
        <f t="shared" si="8"/>
        <v>0.39180324596485377</v>
      </c>
      <c r="AD24" s="64">
        <v>5633.07</v>
      </c>
      <c r="AE24" s="65">
        <v>5956.59</v>
      </c>
      <c r="AF24" s="25">
        <f t="shared" si="9"/>
        <v>5.7432270502585703E-2</v>
      </c>
      <c r="AG24" s="73">
        <v>3146</v>
      </c>
      <c r="AH24" s="74">
        <v>2677.36</v>
      </c>
      <c r="AI24" s="29">
        <f t="shared" si="10"/>
        <v>-0.14896376350921803</v>
      </c>
      <c r="AJ24" s="82">
        <v>1.0792999999999999</v>
      </c>
      <c r="AK24" s="83">
        <v>1.0350999999999999</v>
      </c>
      <c r="AL24" s="33">
        <f t="shared" si="11"/>
        <v>-4.0952469192995479E-2</v>
      </c>
      <c r="AM24" s="55">
        <v>85164.2</v>
      </c>
      <c r="AN24" s="56">
        <v>82653.070000000007</v>
      </c>
      <c r="AO24" s="21">
        <f t="shared" si="12"/>
        <v>-2.9485746358211433E-2</v>
      </c>
      <c r="AP24" s="64">
        <v>5633.07</v>
      </c>
      <c r="AQ24" s="65">
        <v>5613.96</v>
      </c>
      <c r="AR24" s="25">
        <f t="shared" si="13"/>
        <v>-3.3924662750506691E-3</v>
      </c>
      <c r="AS24" s="73">
        <v>3146</v>
      </c>
      <c r="AT24" s="74">
        <v>3154.69</v>
      </c>
      <c r="AU24" s="29">
        <f t="shared" si="14"/>
        <v>2.7622377622377797E-3</v>
      </c>
      <c r="AV24" s="82">
        <v>1.0792999999999999</v>
      </c>
      <c r="AW24" s="83">
        <v>1.0815999999999999</v>
      </c>
      <c r="AX24" s="33">
        <f t="shared" si="15"/>
        <v>2.1310108403594635E-3</v>
      </c>
      <c r="AY24" s="55">
        <v>85164.2</v>
      </c>
      <c r="AZ24" s="56">
        <v>112826.64</v>
      </c>
      <c r="BA24" s="21">
        <f t="shared" si="16"/>
        <v>0.32481300828282311</v>
      </c>
      <c r="BB24" s="64">
        <v>5633.07</v>
      </c>
      <c r="BC24" s="65">
        <v>6201.37</v>
      </c>
      <c r="BD24" s="25">
        <f t="shared" si="17"/>
        <v>0.10088637279494134</v>
      </c>
      <c r="BE24" s="73">
        <v>3146</v>
      </c>
      <c r="BF24" s="74">
        <v>2754.09</v>
      </c>
      <c r="BG24" s="29">
        <f t="shared" si="18"/>
        <v>-0.12457406230133498</v>
      </c>
      <c r="BH24" s="82">
        <v>1.0792999999999999</v>
      </c>
      <c r="BI24" s="83">
        <v>1.0331999999999999</v>
      </c>
      <c r="BJ24" s="38">
        <f t="shared" si="19"/>
        <v>-4.2712869452422898E-2</v>
      </c>
    </row>
    <row r="25" spans="1:62" x14ac:dyDescent="0.35">
      <c r="A25" s="301"/>
      <c r="B25" s="2" t="s">
        <v>32</v>
      </c>
      <c r="C25" s="52">
        <v>105694.3</v>
      </c>
      <c r="D25" s="87">
        <v>150391.75</v>
      </c>
      <c r="E25" s="20">
        <f t="shared" si="0"/>
        <v>0.42289366597820316</v>
      </c>
      <c r="F25" s="61">
        <v>6198.01</v>
      </c>
      <c r="G25" s="88">
        <v>6048.59</v>
      </c>
      <c r="H25" s="24">
        <f t="shared" si="1"/>
        <v>-2.4107737806166828E-2</v>
      </c>
      <c r="I25" s="70">
        <v>3349.8</v>
      </c>
      <c r="J25" s="89">
        <v>2736.32</v>
      </c>
      <c r="K25" s="28">
        <f t="shared" si="2"/>
        <v>-0.18313929189802375</v>
      </c>
      <c r="L25" s="79">
        <v>1.1807000000000001</v>
      </c>
      <c r="M25" s="90">
        <v>1.0354000000000001</v>
      </c>
      <c r="N25" s="32">
        <f t="shared" si="3"/>
        <v>-0.12306258998898956</v>
      </c>
      <c r="O25" s="52">
        <v>105694.3</v>
      </c>
      <c r="P25" s="87">
        <v>107303.54</v>
      </c>
      <c r="Q25" s="20">
        <f t="shared" si="4"/>
        <v>1.522541896772097E-2</v>
      </c>
      <c r="R25" s="61">
        <v>6198.01</v>
      </c>
      <c r="S25" s="88">
        <v>6203.02</v>
      </c>
      <c r="T25" s="24">
        <f t="shared" si="5"/>
        <v>8.0832396204591765E-4</v>
      </c>
      <c r="U25" s="70">
        <v>3349.8</v>
      </c>
      <c r="V25" s="89">
        <v>3308.87</v>
      </c>
      <c r="W25" s="28">
        <f t="shared" si="6"/>
        <v>-1.2218639918801209E-2</v>
      </c>
      <c r="X25" s="79">
        <v>1.1807000000000001</v>
      </c>
      <c r="Y25" s="90">
        <v>1.1786000000000001</v>
      </c>
      <c r="Z25" s="32">
        <f t="shared" si="20"/>
        <v>-1.7786059117472605E-3</v>
      </c>
      <c r="AA25" s="52">
        <v>105694.3</v>
      </c>
      <c r="AB25" s="87">
        <v>149133.73000000001</v>
      </c>
      <c r="AC25" s="20">
        <f t="shared" si="8"/>
        <v>0.41099122658459353</v>
      </c>
      <c r="AD25" s="61">
        <v>6198.01</v>
      </c>
      <c r="AE25" s="88">
        <v>6035.81</v>
      </c>
      <c r="AF25" s="24">
        <f t="shared" si="9"/>
        <v>-2.6169689948870655E-2</v>
      </c>
      <c r="AG25" s="70">
        <v>3349.8</v>
      </c>
      <c r="AH25" s="89">
        <v>2743.04</v>
      </c>
      <c r="AI25" s="28">
        <f t="shared" si="10"/>
        <v>-0.18113320198220795</v>
      </c>
      <c r="AJ25" s="79">
        <v>1.1807000000000001</v>
      </c>
      <c r="AK25" s="90">
        <v>1.0359</v>
      </c>
      <c r="AL25" s="32">
        <f t="shared" si="11"/>
        <v>-0.12263911239095454</v>
      </c>
      <c r="AM25" s="52">
        <v>105694.3</v>
      </c>
      <c r="AN25" s="87">
        <v>107476.83</v>
      </c>
      <c r="AO25" s="20">
        <f t="shared" si="12"/>
        <v>1.686495865907621E-2</v>
      </c>
      <c r="AP25" s="61">
        <v>6198.01</v>
      </c>
      <c r="AQ25" s="88">
        <v>6204.19</v>
      </c>
      <c r="AR25" s="24">
        <f t="shared" si="13"/>
        <v>9.9709422863134803E-4</v>
      </c>
      <c r="AS25" s="70">
        <v>3349.8</v>
      </c>
      <c r="AT25" s="89">
        <v>3310.75</v>
      </c>
      <c r="AU25" s="28">
        <f t="shared" si="14"/>
        <v>-1.1657412382828879E-2</v>
      </c>
      <c r="AV25" s="79">
        <v>1.1807000000000001</v>
      </c>
      <c r="AW25" s="90">
        <v>1.1788000000000001</v>
      </c>
      <c r="AX25" s="32">
        <f t="shared" si="15"/>
        <v>-1.6092148725332536E-3</v>
      </c>
      <c r="AY25" s="52">
        <v>105694.3</v>
      </c>
      <c r="AZ25" s="87">
        <v>131330.5</v>
      </c>
      <c r="BA25" s="20">
        <f t="shared" si="16"/>
        <v>0.24255044974043063</v>
      </c>
      <c r="BB25" s="61">
        <v>6198.01</v>
      </c>
      <c r="BC25" s="88">
        <v>6427.06</v>
      </c>
      <c r="BD25" s="24">
        <f t="shared" si="17"/>
        <v>3.6955409881558786E-2</v>
      </c>
      <c r="BE25" s="70">
        <v>3349.8</v>
      </c>
      <c r="BF25" s="89">
        <v>2926.5</v>
      </c>
      <c r="BG25" s="28">
        <f t="shared" si="18"/>
        <v>-0.12636575317929433</v>
      </c>
      <c r="BH25" s="79">
        <v>1.1807000000000001</v>
      </c>
      <c r="BI25" s="90">
        <v>1.0367999999999999</v>
      </c>
      <c r="BJ25" s="37">
        <f t="shared" si="19"/>
        <v>-0.12187685271449152</v>
      </c>
    </row>
    <row r="26" spans="1:62" x14ac:dyDescent="0.35">
      <c r="A26" s="301"/>
      <c r="B26" s="2" t="s">
        <v>33</v>
      </c>
      <c r="C26" s="52">
        <v>118576.2</v>
      </c>
      <c r="D26" s="87">
        <v>191038.51</v>
      </c>
      <c r="E26" s="20">
        <f t="shared" si="0"/>
        <v>0.61110332427586656</v>
      </c>
      <c r="F26" s="61">
        <v>6711.2</v>
      </c>
      <c r="G26" s="88">
        <v>6134.33</v>
      </c>
      <c r="H26" s="24">
        <f t="shared" si="1"/>
        <v>-8.5956311836929297E-2</v>
      </c>
      <c r="I26" s="70">
        <v>3897.5</v>
      </c>
      <c r="J26" s="89">
        <v>2798.15</v>
      </c>
      <c r="K26" s="28">
        <f t="shared" si="2"/>
        <v>-0.28206542655548428</v>
      </c>
      <c r="L26" s="79">
        <v>1.173</v>
      </c>
      <c r="M26" s="90">
        <v>1.0355000000000001</v>
      </c>
      <c r="N26" s="32">
        <f t="shared" si="3"/>
        <v>-0.11722080136402382</v>
      </c>
      <c r="O26" s="52">
        <v>118576.2</v>
      </c>
      <c r="P26" s="87">
        <v>114009.09</v>
      </c>
      <c r="Q26" s="20">
        <f t="shared" si="4"/>
        <v>-3.8516245249889947E-2</v>
      </c>
      <c r="R26" s="61">
        <v>6711.2</v>
      </c>
      <c r="S26" s="88">
        <v>6687.09</v>
      </c>
      <c r="T26" s="24">
        <f t="shared" si="5"/>
        <v>-3.5925020860650366E-3</v>
      </c>
      <c r="U26" s="70">
        <v>3897.5</v>
      </c>
      <c r="V26" s="89">
        <v>3873.16</v>
      </c>
      <c r="W26" s="28">
        <f t="shared" si="6"/>
        <v>-6.2450288646568684E-3</v>
      </c>
      <c r="X26" s="79">
        <v>1.173</v>
      </c>
      <c r="Y26" s="90">
        <v>1.1734</v>
      </c>
      <c r="Z26" s="32">
        <f t="shared" si="20"/>
        <v>3.410059676043955E-4</v>
      </c>
      <c r="AA26" s="52">
        <v>118576.2</v>
      </c>
      <c r="AB26" s="87">
        <v>188503.41</v>
      </c>
      <c r="AC26" s="20">
        <f t="shared" si="8"/>
        <v>0.58972382316181504</v>
      </c>
      <c r="AD26" s="61">
        <v>6711.2</v>
      </c>
      <c r="AE26" s="88">
        <v>6122.65</v>
      </c>
      <c r="AF26" s="24">
        <f t="shared" si="9"/>
        <v>-8.7696686136607485E-2</v>
      </c>
      <c r="AG26" s="70">
        <v>3897.5</v>
      </c>
      <c r="AH26" s="89">
        <v>2809.11</v>
      </c>
      <c r="AI26" s="28">
        <f t="shared" si="10"/>
        <v>-0.27925336754329694</v>
      </c>
      <c r="AJ26" s="79">
        <v>1.173</v>
      </c>
      <c r="AK26" s="90">
        <v>1.0370999999999999</v>
      </c>
      <c r="AL26" s="32">
        <f t="shared" si="11"/>
        <v>-0.11585677749360625</v>
      </c>
      <c r="AM26" s="52">
        <v>118576.2</v>
      </c>
      <c r="AN26" s="87">
        <v>114414.37</v>
      </c>
      <c r="AO26" s="20">
        <f t="shared" si="12"/>
        <v>-3.509835869255383E-2</v>
      </c>
      <c r="AP26" s="61">
        <v>6711.2</v>
      </c>
      <c r="AQ26" s="88">
        <v>6691.34</v>
      </c>
      <c r="AR26" s="24">
        <f t="shared" si="13"/>
        <v>-2.9592323280485866E-3</v>
      </c>
      <c r="AS26" s="70">
        <v>3897.5</v>
      </c>
      <c r="AT26" s="89">
        <v>3870.65</v>
      </c>
      <c r="AU26" s="28">
        <f t="shared" si="14"/>
        <v>-6.8890314304040816E-3</v>
      </c>
      <c r="AV26" s="79">
        <v>1.173</v>
      </c>
      <c r="AW26" s="90">
        <v>1.1735</v>
      </c>
      <c r="AX26" s="32">
        <f t="shared" si="15"/>
        <v>4.262574595054944E-4</v>
      </c>
      <c r="AY26" s="52">
        <v>118576.2</v>
      </c>
      <c r="AZ26" s="87">
        <v>156050.74</v>
      </c>
      <c r="BA26" s="20">
        <f t="shared" si="16"/>
        <v>0.31603761969096661</v>
      </c>
      <c r="BB26" s="61">
        <v>6711.2</v>
      </c>
      <c r="BC26" s="88">
        <v>6690.16</v>
      </c>
      <c r="BD26" s="24">
        <f t="shared" si="17"/>
        <v>-3.1350578138037853E-3</v>
      </c>
      <c r="BE26" s="70">
        <v>3897.5</v>
      </c>
      <c r="BF26" s="89">
        <v>3133.09</v>
      </c>
      <c r="BG26" s="28">
        <f t="shared" si="18"/>
        <v>-0.19612828736369464</v>
      </c>
      <c r="BH26" s="79">
        <v>1.173</v>
      </c>
      <c r="BI26" s="90">
        <v>1.0449999999999999</v>
      </c>
      <c r="BJ26" s="37">
        <f t="shared" si="19"/>
        <v>-0.10912190963341868</v>
      </c>
    </row>
    <row r="27" spans="1:62" ht="15" thickBot="1" x14ac:dyDescent="0.4">
      <c r="A27" s="302"/>
      <c r="B27" s="3" t="s">
        <v>34</v>
      </c>
      <c r="C27" s="57">
        <v>88812.1</v>
      </c>
      <c r="D27" s="58">
        <v>242670.96</v>
      </c>
      <c r="E27" s="22">
        <f>(D27-C27)/C27</f>
        <v>1.732408759617214</v>
      </c>
      <c r="F27" s="66">
        <v>6845.5</v>
      </c>
      <c r="G27" s="67">
        <v>6221.28</v>
      </c>
      <c r="H27" s="26">
        <f t="shared" si="1"/>
        <v>-9.1186911109488025E-2</v>
      </c>
      <c r="I27" s="75">
        <v>4361.55</v>
      </c>
      <c r="J27" s="76">
        <v>2861.37</v>
      </c>
      <c r="K27" s="30">
        <f t="shared" si="2"/>
        <v>-0.34395570382088941</v>
      </c>
      <c r="L27" s="84">
        <v>1.1746000000000001</v>
      </c>
      <c r="M27" s="85">
        <v>1.0356000000000001</v>
      </c>
      <c r="N27" s="34">
        <f t="shared" si="3"/>
        <v>-0.11833815767069641</v>
      </c>
      <c r="O27" s="57">
        <v>88812.1</v>
      </c>
      <c r="P27" s="58">
        <v>87723.76</v>
      </c>
      <c r="Q27" s="22">
        <f t="shared" si="4"/>
        <v>-1.225441127954424E-2</v>
      </c>
      <c r="R27" s="66">
        <v>6845.5</v>
      </c>
      <c r="S27" s="67">
        <v>6851</v>
      </c>
      <c r="T27" s="26">
        <f t="shared" si="5"/>
        <v>8.0344752026878974E-4</v>
      </c>
      <c r="U27" s="75">
        <v>4361.55</v>
      </c>
      <c r="V27" s="76">
        <v>4387.7700000000004</v>
      </c>
      <c r="W27" s="30">
        <f t="shared" si="6"/>
        <v>6.0116243078722599E-3</v>
      </c>
      <c r="X27" s="84">
        <v>1.1746000000000001</v>
      </c>
      <c r="Y27" s="85">
        <v>1.1746000000000001</v>
      </c>
      <c r="Z27" s="34">
        <f t="shared" si="20"/>
        <v>0</v>
      </c>
      <c r="AA27" s="57">
        <v>88812.1</v>
      </c>
      <c r="AB27" s="58">
        <v>237401.93</v>
      </c>
      <c r="AC27" s="22">
        <f t="shared" si="8"/>
        <v>1.6730809202800065</v>
      </c>
      <c r="AD27" s="66">
        <v>6845.5</v>
      </c>
      <c r="AE27" s="67">
        <v>6218.15</v>
      </c>
      <c r="AF27" s="26">
        <f t="shared" si="9"/>
        <v>-9.1644145789204642E-2</v>
      </c>
      <c r="AG27" s="75">
        <v>4361.55</v>
      </c>
      <c r="AH27" s="76">
        <v>2882.8</v>
      </c>
      <c r="AI27" s="30">
        <f t="shared" si="10"/>
        <v>-0.33904231293920739</v>
      </c>
      <c r="AJ27" s="84">
        <v>1.1746000000000001</v>
      </c>
      <c r="AK27" s="85">
        <v>1.0383</v>
      </c>
      <c r="AL27" s="34">
        <f t="shared" si="11"/>
        <v>-0.11603950280946712</v>
      </c>
      <c r="AM27" s="57">
        <v>88812.1</v>
      </c>
      <c r="AN27" s="58">
        <v>87769.46</v>
      </c>
      <c r="AO27" s="22">
        <f t="shared" si="12"/>
        <v>-1.1739841755796782E-2</v>
      </c>
      <c r="AP27" s="66">
        <v>6845.5</v>
      </c>
      <c r="AQ27" s="67">
        <v>6851.81</v>
      </c>
      <c r="AR27" s="26">
        <f t="shared" si="13"/>
        <v>9.2177342779934269E-4</v>
      </c>
      <c r="AS27" s="75">
        <v>4361.55</v>
      </c>
      <c r="AT27" s="76">
        <v>4397.17</v>
      </c>
      <c r="AU27" s="30">
        <f t="shared" si="14"/>
        <v>8.166821428161981E-3</v>
      </c>
      <c r="AV27" s="84">
        <v>1.1746000000000001</v>
      </c>
      <c r="AW27" s="85">
        <v>1.1747000000000001</v>
      </c>
      <c r="AX27" s="34">
        <f t="shared" si="15"/>
        <v>8.5135365230707457E-5</v>
      </c>
      <c r="AY27" s="57">
        <v>88812.1</v>
      </c>
      <c r="AZ27" s="58">
        <v>179924.52</v>
      </c>
      <c r="BA27" s="22">
        <f t="shared" si="16"/>
        <v>1.0259009752049548</v>
      </c>
      <c r="BB27" s="66">
        <v>6845.5</v>
      </c>
      <c r="BC27" s="67">
        <v>7061</v>
      </c>
      <c r="BD27" s="26">
        <f t="shared" si="17"/>
        <v>3.1480534657804399E-2</v>
      </c>
      <c r="BE27" s="75">
        <v>4361.55</v>
      </c>
      <c r="BF27" s="76">
        <v>3428.53</v>
      </c>
      <c r="BG27" s="30">
        <f t="shared" si="18"/>
        <v>-0.21391936352902063</v>
      </c>
      <c r="BH27" s="84">
        <v>1.1746000000000001</v>
      </c>
      <c r="BI27" s="85">
        <v>1.0553999999999999</v>
      </c>
      <c r="BJ27" s="39">
        <f t="shared" si="19"/>
        <v>-0.10148135535501464</v>
      </c>
    </row>
    <row r="28" spans="1:62" x14ac:dyDescent="0.35">
      <c r="D28" t="s">
        <v>40</v>
      </c>
      <c r="E28" s="20" cm="1">
        <f t="array" ref="E28">AVERAGE(ABS(E4:E27))</f>
        <v>1.0265439941037653</v>
      </c>
      <c r="G28" t="s">
        <v>40</v>
      </c>
      <c r="H28" s="24" cm="1">
        <f t="array" ref="H28">AVERAGE(ABS(H4:H27))</f>
        <v>0.130167169295241</v>
      </c>
      <c r="J28" t="s">
        <v>40</v>
      </c>
      <c r="K28" s="28" cm="1">
        <f t="array" ref="K28">AVERAGE(ABS(K4:K27))</f>
        <v>0.11815919350437008</v>
      </c>
      <c r="M28" t="s">
        <v>40</v>
      </c>
      <c r="N28" s="35" cm="1">
        <f t="array" ref="N28">AVERAGE(ABS(N4:N27))</f>
        <v>5.4821890430214487E-2</v>
      </c>
      <c r="P28" t="s">
        <v>40</v>
      </c>
      <c r="Q28" s="20" cm="1">
        <f t="array" ref="Q28">AVERAGE(ABS(Q4:Q27))</f>
        <v>2.3603105615269012E-2</v>
      </c>
      <c r="S28" t="s">
        <v>40</v>
      </c>
      <c r="T28" s="24" cm="1">
        <f t="array" ref="T28">AVERAGE(ABS(T4:T27))</f>
        <v>5.3669333445252694E-3</v>
      </c>
      <c r="V28" t="s">
        <v>40</v>
      </c>
      <c r="W28" s="28" cm="1">
        <f t="array" ref="W28">AVERAGE(ABS(W4:W27))</f>
        <v>4.0144838116363381E-3</v>
      </c>
      <c r="Y28" t="s">
        <v>40</v>
      </c>
      <c r="Z28" s="35" cm="1">
        <f t="array" ref="Z28">AVERAGE(ABS(Z4:Z27))</f>
        <v>1.7264471176856864E-3</v>
      </c>
      <c r="AB28" t="s">
        <v>40</v>
      </c>
      <c r="AC28" s="20" cm="1">
        <f t="array" ref="AC28">AVERAGE(ABS(AC4:AC27))</f>
        <v>0.97926702621680883</v>
      </c>
      <c r="AE28" t="s">
        <v>40</v>
      </c>
      <c r="AF28" s="24" cm="1">
        <f t="array" ref="AF28">AVERAGE(ABS(AF4:AF27))</f>
        <v>0.12912372015400433</v>
      </c>
      <c r="AH28" t="s">
        <v>40</v>
      </c>
      <c r="AI28" s="28" cm="1">
        <f t="array" ref="AI28">AVERAGE(ABS(AI4:AI27))</f>
        <v>0.11658479721638716</v>
      </c>
      <c r="AK28" t="s">
        <v>40</v>
      </c>
      <c r="AL28" s="35" cm="1">
        <f t="array" ref="AL28">AVERAGE(ABS(AL4:AL27))</f>
        <v>5.4183547798500049E-2</v>
      </c>
      <c r="AN28" t="s">
        <v>40</v>
      </c>
      <c r="AO28" s="20" cm="1">
        <f t="array" ref="AO28">AVERAGE(ABS(AO4:AO27))</f>
        <v>3.6161156765879422E-2</v>
      </c>
      <c r="AQ28" t="s">
        <v>40</v>
      </c>
      <c r="AR28" s="24" cm="1">
        <f t="array" ref="AR28">AVERAGE(ABS(AR4:AR27))</f>
        <v>5.5213967295835919E-3</v>
      </c>
      <c r="AT28" t="s">
        <v>40</v>
      </c>
      <c r="AU28" s="28" cm="1">
        <f t="array" ref="AU28">AVERAGE(ABS(AU4:AU27))</f>
        <v>4.3725639207581333E-3</v>
      </c>
      <c r="AW28" t="s">
        <v>40</v>
      </c>
      <c r="AX28" s="35" cm="1">
        <f t="array" ref="AX28">AVERAGE(ABS(AX4:AX27))</f>
        <v>1.7571768166273812E-3</v>
      </c>
      <c r="AZ28" t="s">
        <v>40</v>
      </c>
      <c r="BA28" s="20" cm="1">
        <f t="array" ref="BA28">AVERAGE(ABS(BA4:BA27))</f>
        <v>0.69414892117823801</v>
      </c>
      <c r="BC28" t="s">
        <v>40</v>
      </c>
      <c r="BD28" s="24" cm="1">
        <f t="array" ref="BD28">AVERAGE(ABS(BD4:BD27))</f>
        <v>0.12555312369212876</v>
      </c>
      <c r="BF28" t="s">
        <v>40</v>
      </c>
      <c r="BG28" s="28" cm="1">
        <f t="array" ref="BG28">AVERAGE(ABS(BG4:BG27))</f>
        <v>0.10299876208610644</v>
      </c>
      <c r="BI28" t="s">
        <v>40</v>
      </c>
      <c r="BJ28" s="35" cm="1">
        <f t="array" ref="BJ28">AVERAGE(ABS(BJ4:BJ27))</f>
        <v>5.9392464248066379E-2</v>
      </c>
    </row>
    <row r="29" spans="1:62" x14ac:dyDescent="0.35">
      <c r="D29" t="s">
        <v>41</v>
      </c>
      <c r="E29" s="20" cm="1">
        <f t="array" ref="E29">MAX(ABS(E4:E27))</f>
        <v>7.6732308766186872</v>
      </c>
      <c r="G29" t="s">
        <v>41</v>
      </c>
      <c r="H29" s="24" cm="1">
        <f t="array" ref="H29">MAX(ABS(H4:H27))</f>
        <v>0.38433799454487655</v>
      </c>
      <c r="J29" t="s">
        <v>41</v>
      </c>
      <c r="K29" s="28" cm="1">
        <f t="array" ref="K29">MAX(ABS(K4:K27))</f>
        <v>0.34395570382088941</v>
      </c>
      <c r="M29" t="s">
        <v>41</v>
      </c>
      <c r="N29" s="35" cm="1">
        <f t="array" ref="N29">MAX(ABS(N4:N27))</f>
        <v>0.16399632615573023</v>
      </c>
      <c r="P29" t="s">
        <v>41</v>
      </c>
      <c r="Q29" s="20" cm="1">
        <f t="array" ref="Q29">MAX(ABS(Q4:Q27))</f>
        <v>8.8091222531466742E-2</v>
      </c>
      <c r="S29" t="s">
        <v>41</v>
      </c>
      <c r="T29" s="24" cm="1">
        <f t="array" ref="T29">MAX(ABS(T4:T27))</f>
        <v>4.8249342238413206E-2</v>
      </c>
      <c r="V29" t="s">
        <v>41</v>
      </c>
      <c r="W29" s="28" cm="1">
        <f t="array" ref="W29">MAX(ABS(W4:W27))</f>
        <v>1.9582350060109541E-2</v>
      </c>
      <c r="Y29" t="s">
        <v>41</v>
      </c>
      <c r="Z29" s="35" cm="1">
        <f t="array" ref="Z29">MAX(ABS(Z4:Z27))</f>
        <v>6.0540345170325546E-3</v>
      </c>
      <c r="AB29" t="s">
        <v>41</v>
      </c>
      <c r="AC29" s="20" cm="1">
        <f t="array" ref="AC29">MAX(ABS(AC4:AC27))</f>
        <v>6.9922345111442734</v>
      </c>
      <c r="AE29" t="s">
        <v>41</v>
      </c>
      <c r="AF29" s="24" cm="1">
        <f t="array" ref="AF29">MAX(ABS(AF4:AF27))</f>
        <v>0.38206223749309753</v>
      </c>
      <c r="AH29" t="s">
        <v>41</v>
      </c>
      <c r="AI29" s="28" cm="1">
        <f t="array" ref="AI29">MAX(ABS(AI4:AI27))</f>
        <v>0.33904231293920739</v>
      </c>
      <c r="AK29" t="s">
        <v>41</v>
      </c>
      <c r="AL29" s="35" cm="1">
        <f t="array" ref="AL29">MAX(ABS(AL4:AL27))</f>
        <v>0.16226145525053581</v>
      </c>
      <c r="AN29" t="s">
        <v>41</v>
      </c>
      <c r="AO29" s="20" cm="1">
        <f t="array" ref="AO29">MAX(ABS(AO4:AO27))</f>
        <v>0.32639471997732661</v>
      </c>
      <c r="AQ29" t="s">
        <v>41</v>
      </c>
      <c r="AR29" s="24" cm="1">
        <f t="array" ref="AR29">MAX(ABS(AR4:AR27))</f>
        <v>5.2252580449301818E-2</v>
      </c>
      <c r="AT29" t="s">
        <v>41</v>
      </c>
      <c r="AU29" s="28" cm="1">
        <f t="array" ref="AU29">MAX(ABS(AU4:AU27))</f>
        <v>1.9324101696424636E-2</v>
      </c>
      <c r="AW29" t="s">
        <v>41</v>
      </c>
      <c r="AX29" s="35" cm="1">
        <f t="array" ref="AX29">MAX(ABS(AX4:AX27))</f>
        <v>6.3251106894369703E-3</v>
      </c>
      <c r="AZ29" t="s">
        <v>41</v>
      </c>
      <c r="BA29" s="20" cm="1">
        <f t="array" ref="BA29">MAX(ABS(BA4:BA27))</f>
        <v>3.0942395176430946</v>
      </c>
      <c r="BC29" t="s">
        <v>41</v>
      </c>
      <c r="BD29" s="24" cm="1">
        <f t="array" ref="BD29">MAX(ABS(BD4:BD27))</f>
        <v>0.49589192385138414</v>
      </c>
      <c r="BF29" t="s">
        <v>41</v>
      </c>
      <c r="BG29" s="28" cm="1">
        <f t="array" ref="BG29">MAX(ABS(BG4:BG27))</f>
        <v>0.21391936352902063</v>
      </c>
      <c r="BI29" t="s">
        <v>41</v>
      </c>
      <c r="BJ29" s="35" cm="1">
        <f t="array" ref="BJ29">MAX(ABS(BJ4:BJ27))</f>
        <v>0.14225941422594141</v>
      </c>
    </row>
    <row r="30" spans="1:62" x14ac:dyDescent="0.35">
      <c r="D30" t="s">
        <v>42</v>
      </c>
      <c r="E30" s="20" cm="1">
        <f t="array" ref="E30">MEDIAN(ABS(E4:E27))</f>
        <v>0.41983749811006715</v>
      </c>
      <c r="G30" t="s">
        <v>42</v>
      </c>
      <c r="H30" s="24" cm="1">
        <f t="array" ref="H30">MEDIAN(ABS(H4:H27))</f>
        <v>0.1059274728571802</v>
      </c>
      <c r="J30" t="s">
        <v>42</v>
      </c>
      <c r="K30" s="28" cm="1">
        <f t="array" ref="K30">MEDIAN(ABS(K4:K27))</f>
        <v>0.11830693207104818</v>
      </c>
      <c r="M30" t="s">
        <v>42</v>
      </c>
      <c r="N30" s="35" cm="1">
        <f t="array" ref="N30">MEDIAN(ABS(N4:N27))</f>
        <v>3.9997552868563199E-2</v>
      </c>
      <c r="P30" t="s">
        <v>42</v>
      </c>
      <c r="Q30" s="20" cm="1">
        <f t="array" ref="Q30">MEDIAN(ABS(Q4:Q27))</f>
        <v>1.7710703419741569E-2</v>
      </c>
      <c r="S30" t="s">
        <v>42</v>
      </c>
      <c r="T30" s="24" cm="1">
        <f t="array" ref="T30">MEDIAN(ABS(T4:T27))</f>
        <v>2.0949115606919092E-3</v>
      </c>
      <c r="V30" t="s">
        <v>42</v>
      </c>
      <c r="W30" s="28" cm="1">
        <f t="array" ref="W30">MEDIAN(ABS(W4:W27))</f>
        <v>8.064907145073903E-4</v>
      </c>
      <c r="Y30" t="s">
        <v>42</v>
      </c>
      <c r="Z30" s="35" cm="1">
        <f t="array" ref="Z30">MEDIAN(ABS(Z4:Z27))</f>
        <v>9.6594817899362071E-4</v>
      </c>
      <c r="AB30" t="s">
        <v>42</v>
      </c>
      <c r="AC30" s="20" cm="1">
        <f t="array" ref="AC30">MEDIAN(ABS(AC4:AC27))</f>
        <v>0.40139723627472368</v>
      </c>
      <c r="AE30" t="s">
        <v>42</v>
      </c>
      <c r="AF30" s="24" cm="1">
        <f t="array" ref="AF30">MEDIAN(ABS(AF4:AF27))</f>
        <v>0.10515400358281086</v>
      </c>
      <c r="AH30" t="s">
        <v>42</v>
      </c>
      <c r="AI30" s="28" cm="1">
        <f t="array" ref="AI30">MEDIAN(ABS(AI4:AI27))</f>
        <v>0.11726474127652055</v>
      </c>
      <c r="AK30" t="s">
        <v>42</v>
      </c>
      <c r="AL30" s="35" cm="1">
        <f t="array" ref="AL30">MEDIAN(ABS(AL4:AL27))</f>
        <v>4.0051606146391597E-2</v>
      </c>
      <c r="AN30" t="s">
        <v>42</v>
      </c>
      <c r="AO30" s="20" cm="1">
        <f t="array" ref="AO30">MEDIAN(ABS(AO4:AO27))</f>
        <v>2.040183594553692E-2</v>
      </c>
      <c r="AQ30" t="s">
        <v>42</v>
      </c>
      <c r="AR30" s="24" cm="1">
        <f t="array" ref="AR30">MEDIAN(ABS(AR4:AR27))</f>
        <v>2.0007344745063432E-3</v>
      </c>
      <c r="AT30" t="s">
        <v>42</v>
      </c>
      <c r="AU30" s="28" cm="1">
        <f t="array" ref="AU30">MEDIAN(ABS(AU4:AU27))</f>
        <v>1.71684161731505E-3</v>
      </c>
      <c r="AW30" t="s">
        <v>42</v>
      </c>
      <c r="AX30" s="35" cm="1">
        <f t="array" ref="AX30">MEDIAN(ABS(AX4:AX27))</f>
        <v>9.9561042899793317E-4</v>
      </c>
      <c r="AZ30" t="s">
        <v>42</v>
      </c>
      <c r="BA30" s="20" cm="1">
        <f t="array" ref="BA30">MEDIAN(ABS(BA4:BA27))</f>
        <v>0.36219911585111586</v>
      </c>
      <c r="BC30" t="s">
        <v>42</v>
      </c>
      <c r="BD30" s="24" cm="1">
        <f t="array" ref="BD30">MEDIAN(ABS(BD4:BD27))</f>
        <v>8.7038114651152534E-2</v>
      </c>
      <c r="BF30" t="s">
        <v>42</v>
      </c>
      <c r="BG30" s="28" cm="1">
        <f t="array" ref="BG30">MEDIAN(ABS(BG4:BG27))</f>
        <v>9.712213307782841E-2</v>
      </c>
      <c r="BI30" t="s">
        <v>42</v>
      </c>
      <c r="BJ30" s="35" cm="1">
        <f t="array" ref="BJ30">MEDIAN(ABS(BJ4:BJ27))</f>
        <v>4.4835329387642134E-2</v>
      </c>
    </row>
    <row r="33" spans="2:11" ht="14.5" customHeight="1" x14ac:dyDescent="0.35">
      <c r="B33" s="337" t="s">
        <v>120</v>
      </c>
      <c r="C33" s="337"/>
      <c r="D33" s="337"/>
      <c r="E33" s="337"/>
      <c r="F33" s="337"/>
      <c r="G33" s="337"/>
      <c r="H33" s="337"/>
      <c r="I33" s="337"/>
      <c r="J33" s="337"/>
      <c r="K33" s="337"/>
    </row>
    <row r="34" spans="2:11" x14ac:dyDescent="0.35">
      <c r="B34" s="337"/>
      <c r="C34" s="337"/>
      <c r="D34" s="337"/>
      <c r="E34" s="337"/>
      <c r="F34" s="337"/>
      <c r="G34" s="337"/>
      <c r="H34" s="337"/>
      <c r="I34" s="337"/>
      <c r="J34" s="337"/>
      <c r="K34" s="337"/>
    </row>
    <row r="35" spans="2:11" x14ac:dyDescent="0.35">
      <c r="B35" s="337"/>
      <c r="C35" s="337"/>
      <c r="D35" s="337"/>
      <c r="E35" s="337"/>
      <c r="F35" s="337"/>
      <c r="G35" s="337"/>
      <c r="H35" s="337"/>
      <c r="I35" s="337"/>
      <c r="J35" s="337"/>
      <c r="K35" s="337"/>
    </row>
    <row r="36" spans="2:11" x14ac:dyDescent="0.35">
      <c r="B36" s="337"/>
      <c r="C36" s="337"/>
      <c r="D36" s="337"/>
      <c r="E36" s="337"/>
      <c r="F36" s="337"/>
      <c r="G36" s="337"/>
      <c r="H36" s="337"/>
      <c r="I36" s="337"/>
      <c r="J36" s="337"/>
      <c r="K36" s="337"/>
    </row>
    <row r="37" spans="2:11" x14ac:dyDescent="0.35">
      <c r="E37" s="86"/>
    </row>
  </sheetData>
  <mergeCells count="35">
    <mergeCell ref="B33:K36"/>
    <mergeCell ref="AY1:BJ1"/>
    <mergeCell ref="AY2:BA2"/>
    <mergeCell ref="BB2:BD2"/>
    <mergeCell ref="BE2:BG2"/>
    <mergeCell ref="BH2:BJ2"/>
    <mergeCell ref="AM1:AX1"/>
    <mergeCell ref="AM2:AO2"/>
    <mergeCell ref="AP2:AR2"/>
    <mergeCell ref="AS2:AU2"/>
    <mergeCell ref="AV2:AX2"/>
    <mergeCell ref="A12:A15"/>
    <mergeCell ref="A16:A19"/>
    <mergeCell ref="A20:A23"/>
    <mergeCell ref="A24:A27"/>
    <mergeCell ref="A3:B3"/>
    <mergeCell ref="A4:A7"/>
    <mergeCell ref="A8:A11"/>
    <mergeCell ref="AA1:AL1"/>
    <mergeCell ref="AA2:AC2"/>
    <mergeCell ref="AD2:AF2"/>
    <mergeCell ref="AG2:AI2"/>
    <mergeCell ref="AJ2:AL2"/>
    <mergeCell ref="U2:W2"/>
    <mergeCell ref="X2:Z2"/>
    <mergeCell ref="C1:N1"/>
    <mergeCell ref="O1:Z1"/>
    <mergeCell ref="A1:B1"/>
    <mergeCell ref="I2:K2"/>
    <mergeCell ref="L2:N2"/>
    <mergeCell ref="O2:Q2"/>
    <mergeCell ref="R2:T2"/>
    <mergeCell ref="A2:B2"/>
    <mergeCell ref="C2:E2"/>
    <mergeCell ref="F2:H2"/>
  </mergeCells>
  <phoneticPr fontId="2" type="noConversion"/>
  <pageMargins left="0.7" right="0.7" top="0.75" bottom="0.75" header="0.3" footer="0.3"/>
  <ignoredErrors>
    <ignoredError sqref="E5" evalError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AA62-1405-4D5D-A97C-46B53B01AB28}">
  <dimension ref="A1:F20"/>
  <sheetViews>
    <sheetView topLeftCell="A4" zoomScale="131" zoomScaleNormal="265" workbookViewId="0">
      <selection activeCell="E7" sqref="E7"/>
    </sheetView>
  </sheetViews>
  <sheetFormatPr defaultRowHeight="14.5" x14ac:dyDescent="0.35"/>
  <cols>
    <col min="1" max="1" width="9.36328125" customWidth="1"/>
    <col min="2" max="2" width="9.453125" customWidth="1"/>
    <col min="4" max="4" width="12.6328125" customWidth="1"/>
    <col min="6" max="6" width="11" customWidth="1"/>
  </cols>
  <sheetData>
    <row r="1" spans="1:6" x14ac:dyDescent="0.35">
      <c r="A1" t="s">
        <v>40</v>
      </c>
      <c r="B1" t="s">
        <v>44</v>
      </c>
      <c r="C1" t="s">
        <v>45</v>
      </c>
      <c r="D1" t="s">
        <v>48</v>
      </c>
      <c r="E1" t="s">
        <v>49</v>
      </c>
      <c r="F1" t="s">
        <v>50</v>
      </c>
    </row>
    <row r="2" spans="1:6" x14ac:dyDescent="0.35">
      <c r="A2" t="s">
        <v>35</v>
      </c>
      <c r="B2" s="86">
        <f>'ARIMA DATA'!E28</f>
        <v>1.0265439941037653</v>
      </c>
      <c r="C2" s="86">
        <f>'ARIMA DATA'!Q28</f>
        <v>2.3603105615269012E-2</v>
      </c>
      <c r="D2" s="86">
        <f>'ARIMA DATA'!AC28</f>
        <v>0.97926702621680883</v>
      </c>
      <c r="E2" s="86">
        <f>'ARIMA DATA'!AO28</f>
        <v>3.6161156765879422E-2</v>
      </c>
      <c r="F2" s="86">
        <f>'ARIMA DATA'!BA28</f>
        <v>0.69414892117823801</v>
      </c>
    </row>
    <row r="3" spans="1:6" x14ac:dyDescent="0.35">
      <c r="A3" t="s">
        <v>51</v>
      </c>
      <c r="B3" s="86">
        <f>'ARIMA DATA'!H28</f>
        <v>0.130167169295241</v>
      </c>
      <c r="C3" s="86">
        <f>'ARIMA DATA'!T28</f>
        <v>5.3669333445252694E-3</v>
      </c>
      <c r="D3" s="86">
        <f>'ARIMA DATA'!AF28</f>
        <v>0.12912372015400433</v>
      </c>
      <c r="E3" s="86">
        <f>'ARIMA DATA'!AR28</f>
        <v>5.5213967295835919E-3</v>
      </c>
      <c r="F3" s="86">
        <f>'ARIMA DATA'!BD28</f>
        <v>0.12555312369212876</v>
      </c>
    </row>
    <row r="4" spans="1:6" x14ac:dyDescent="0.35">
      <c r="B4" s="86">
        <v>0</v>
      </c>
      <c r="C4" s="86">
        <v>0</v>
      </c>
      <c r="D4" s="86">
        <v>0</v>
      </c>
      <c r="E4" s="86">
        <v>0</v>
      </c>
      <c r="F4" s="86">
        <v>0</v>
      </c>
    </row>
    <row r="5" spans="1:6" x14ac:dyDescent="0.35">
      <c r="B5" s="86">
        <v>0</v>
      </c>
      <c r="C5" s="86">
        <v>0</v>
      </c>
      <c r="D5" s="86">
        <v>0</v>
      </c>
      <c r="E5" s="86">
        <v>0</v>
      </c>
      <c r="F5" s="86">
        <v>0</v>
      </c>
    </row>
    <row r="6" spans="1:6" x14ac:dyDescent="0.35">
      <c r="B6" s="86">
        <v>0</v>
      </c>
      <c r="C6" s="86">
        <v>0</v>
      </c>
      <c r="D6" s="86">
        <v>0</v>
      </c>
      <c r="E6" s="86">
        <v>0</v>
      </c>
      <c r="F6" s="86">
        <v>0</v>
      </c>
    </row>
    <row r="7" spans="1:6" x14ac:dyDescent="0.35">
      <c r="A7" t="s">
        <v>38</v>
      </c>
      <c r="B7" s="86">
        <f>'ARIMA DATA'!K28</f>
        <v>0.11815919350437008</v>
      </c>
      <c r="C7" s="86">
        <f>'ARIMA DATA'!W28</f>
        <v>4.0144838116363381E-3</v>
      </c>
      <c r="D7" s="86">
        <f>'ARIMA DATA'!AI28</f>
        <v>0.11658479721638716</v>
      </c>
      <c r="E7" s="86">
        <f>'ARIMA DATA'!AU28</f>
        <v>4.3725639207581333E-3</v>
      </c>
      <c r="F7" s="86">
        <f>'ARIMA DATA'!BG28</f>
        <v>0.10299876208610644</v>
      </c>
    </row>
    <row r="8" spans="1:6" x14ac:dyDescent="0.35">
      <c r="A8" t="s">
        <v>39</v>
      </c>
      <c r="B8" s="86">
        <f>'ARIMA DATA'!N28</f>
        <v>5.4821890430214487E-2</v>
      </c>
      <c r="C8" s="86">
        <f>'ARIMA DATA'!Z28</f>
        <v>1.7264471176856864E-3</v>
      </c>
      <c r="D8" s="86">
        <f>'ARIMA DATA'!AL28</f>
        <v>5.4183547798500049E-2</v>
      </c>
      <c r="E8" s="86">
        <f>'ARIMA DATA'!AX28</f>
        <v>1.7571768166273812E-3</v>
      </c>
      <c r="F8" s="86">
        <f>'ARIMA DATA'!BJ28</f>
        <v>5.9392464248066379E-2</v>
      </c>
    </row>
    <row r="10" spans="1:6" x14ac:dyDescent="0.35">
      <c r="A10" t="s">
        <v>41</v>
      </c>
      <c r="B10" t="s">
        <v>44</v>
      </c>
      <c r="C10" t="s">
        <v>45</v>
      </c>
      <c r="D10" t="s">
        <v>48</v>
      </c>
      <c r="E10" t="s">
        <v>49</v>
      </c>
      <c r="F10" t="s">
        <v>50</v>
      </c>
    </row>
    <row r="11" spans="1:6" x14ac:dyDescent="0.35">
      <c r="A11" t="s">
        <v>35</v>
      </c>
      <c r="B11" s="86">
        <f>'ARIMA DATA'!E29</f>
        <v>7.6732308766186872</v>
      </c>
      <c r="C11" s="86">
        <f>'ARIMA DATA'!Q29</f>
        <v>8.8091222531466742E-2</v>
      </c>
      <c r="D11" s="86">
        <f>'ARIMA DATA'!AC29</f>
        <v>6.9922345111442734</v>
      </c>
      <c r="E11" s="86">
        <f>'ARIMA DATA'!AO29</f>
        <v>0.32639471997732661</v>
      </c>
      <c r="F11" s="86">
        <f>'ARIMA DATA'!BA29</f>
        <v>3.0942395176430946</v>
      </c>
    </row>
    <row r="12" spans="1:6" x14ac:dyDescent="0.35">
      <c r="A12" t="s">
        <v>51</v>
      </c>
      <c r="B12" s="86">
        <f>'ARIMA DATA'!H29</f>
        <v>0.38433799454487655</v>
      </c>
      <c r="C12" s="86">
        <f>'ARIMA DATA'!T29</f>
        <v>4.8249342238413206E-2</v>
      </c>
      <c r="D12" s="86">
        <f>'ARIMA DATA'!AF29</f>
        <v>0.38206223749309753</v>
      </c>
      <c r="E12" s="86">
        <f>'ARIMA DATA'!AR29</f>
        <v>5.2252580449301818E-2</v>
      </c>
      <c r="F12" s="86">
        <f>'ARIMA DATA'!BD29</f>
        <v>0.49589192385138414</v>
      </c>
    </row>
    <row r="13" spans="1:6" x14ac:dyDescent="0.35">
      <c r="A13" t="s">
        <v>38</v>
      </c>
      <c r="B13" s="86">
        <f>'ARIMA DATA'!K29</f>
        <v>0.34395570382088941</v>
      </c>
      <c r="C13" s="86">
        <f>'ARIMA DATA'!W29</f>
        <v>1.9582350060109541E-2</v>
      </c>
      <c r="D13" s="86">
        <f>'ARIMA DATA'!AI29</f>
        <v>0.33904231293920739</v>
      </c>
      <c r="E13" s="86">
        <f>'ARIMA DATA'!AU29</f>
        <v>1.9324101696424636E-2</v>
      </c>
      <c r="F13" s="86">
        <f>'ARIMA DATA'!BG29</f>
        <v>0.21391936352902063</v>
      </c>
    </row>
    <row r="14" spans="1:6" x14ac:dyDescent="0.35">
      <c r="A14" t="s">
        <v>39</v>
      </c>
      <c r="B14" s="86">
        <f>'ARIMA DATA'!N29</f>
        <v>0.16399632615573023</v>
      </c>
      <c r="C14" s="86">
        <f>'ARIMA DATA'!Z29</f>
        <v>6.0540345170325546E-3</v>
      </c>
      <c r="D14" s="86">
        <f>'ARIMA DATA'!AL29</f>
        <v>0.16226145525053581</v>
      </c>
      <c r="E14" s="86">
        <f>'ARIMA DATA'!AX29</f>
        <v>6.3251106894369703E-3</v>
      </c>
      <c r="F14" s="86">
        <f>'ARIMA DATA'!BJ29</f>
        <v>0.14225941422594141</v>
      </c>
    </row>
    <row r="16" spans="1:6" x14ac:dyDescent="0.35">
      <c r="A16" t="s">
        <v>52</v>
      </c>
      <c r="B16" t="s">
        <v>44</v>
      </c>
      <c r="C16" t="s">
        <v>45</v>
      </c>
      <c r="D16" t="s">
        <v>48</v>
      </c>
      <c r="E16" t="s">
        <v>49</v>
      </c>
      <c r="F16" t="s">
        <v>50</v>
      </c>
    </row>
    <row r="17" spans="1:6" x14ac:dyDescent="0.35">
      <c r="A17" t="s">
        <v>35</v>
      </c>
      <c r="B17" s="86">
        <f>'ARIMA DATA'!E30</f>
        <v>0.41983749811006715</v>
      </c>
      <c r="C17" s="86">
        <f>'ARIMA DATA'!Q30</f>
        <v>1.7710703419741569E-2</v>
      </c>
      <c r="D17" s="86">
        <f>'ARIMA DATA'!AC30</f>
        <v>0.40139723627472368</v>
      </c>
      <c r="E17" s="86">
        <f>'ARIMA DATA'!AO30</f>
        <v>2.040183594553692E-2</v>
      </c>
      <c r="F17" s="86">
        <f>'ARIMA DATA'!BA30</f>
        <v>0.36219911585111586</v>
      </c>
    </row>
    <row r="18" spans="1:6" x14ac:dyDescent="0.35">
      <c r="A18" t="s">
        <v>51</v>
      </c>
      <c r="B18" s="86">
        <f>'ARIMA DATA'!H30</f>
        <v>0.1059274728571802</v>
      </c>
      <c r="C18" s="86">
        <f>'ARIMA DATA'!T30</f>
        <v>2.0949115606919092E-3</v>
      </c>
      <c r="D18" s="86">
        <f>'ARIMA DATA'!AF30</f>
        <v>0.10515400358281086</v>
      </c>
      <c r="E18" s="86">
        <f>'ARIMA DATA'!AR30</f>
        <v>2.0007344745063432E-3</v>
      </c>
      <c r="F18" s="86">
        <f>'ARIMA DATA'!BD30</f>
        <v>8.7038114651152534E-2</v>
      </c>
    </row>
    <row r="19" spans="1:6" x14ac:dyDescent="0.35">
      <c r="A19" t="s">
        <v>38</v>
      </c>
      <c r="B19" s="86">
        <f>'ARIMA DATA'!K30</f>
        <v>0.11830693207104818</v>
      </c>
      <c r="C19" s="86">
        <f>'ARIMA DATA'!W30</f>
        <v>8.064907145073903E-4</v>
      </c>
      <c r="D19" s="86">
        <f>'ARIMA DATA'!AI30</f>
        <v>0.11726474127652055</v>
      </c>
      <c r="E19" s="86">
        <f>'ARIMA DATA'!AU30</f>
        <v>1.71684161731505E-3</v>
      </c>
      <c r="F19" s="86">
        <f>'ARIMA DATA'!BG30</f>
        <v>9.712213307782841E-2</v>
      </c>
    </row>
    <row r="20" spans="1:6" x14ac:dyDescent="0.35">
      <c r="A20" t="s">
        <v>39</v>
      </c>
      <c r="B20" s="86">
        <f>'ARIMA DATA'!N30</f>
        <v>3.9997552868563199E-2</v>
      </c>
      <c r="C20" s="86">
        <f>'ARIMA DATA'!Z30</f>
        <v>9.6594817899362071E-4</v>
      </c>
      <c r="D20" s="86">
        <f>'ARIMA DATA'!AL30</f>
        <v>4.0051606146391597E-2</v>
      </c>
      <c r="E20" s="86">
        <f>'ARIMA DATA'!AX30</f>
        <v>9.9561042899793317E-4</v>
      </c>
      <c r="F20" s="86">
        <f>'ARIMA DATA'!BJ30</f>
        <v>4.4835329387642134E-2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ARIMA FINAL</vt:lpstr>
      <vt:lpstr>RANDOM WALK</vt:lpstr>
      <vt:lpstr>ARIMA DATA</vt:lpstr>
      <vt:lpstr>ARIMA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</dc:creator>
  <cp:lastModifiedBy>Tiago Caetano</cp:lastModifiedBy>
  <dcterms:created xsi:type="dcterms:W3CDTF">2015-06-05T18:17:20Z</dcterms:created>
  <dcterms:modified xsi:type="dcterms:W3CDTF">2026-05-17T23:41:04Z</dcterms:modified>
</cp:coreProperties>
</file>